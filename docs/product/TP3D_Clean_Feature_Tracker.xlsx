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755796d2249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3cbed8f2d944c53"/>
    <x:sheet xmlns:r="http://schemas.openxmlformats.org/officeDocument/2006/relationships" name="Phase Roadmap" sheetId="2" r:id="R54e88dacbd944271"/>
    <x:sheet xmlns:r="http://schemas.openxmlformats.org/officeDocument/2006/relationships" name="Feature Inventory" sheetId="3" r:id="R27d85847b68f4b52"/>
    <x:sheet xmlns:r="http://schemas.openxmlformats.org/officeDocument/2006/relationships" name="Completed" sheetId="4" r:id="R4b54fa9cfdca483f"/>
    <x:sheet xmlns:r="http://schemas.openxmlformats.org/officeDocument/2006/relationships" name="Open TODO" sheetId="5" r:id="Ra0676c9cf91f414f"/>
    <x:sheet xmlns:r="http://schemas.openxmlformats.org/officeDocument/2006/relationships" name="AutoPack Plan" sheetId="6" r:id="R0f94c9b7c1264e44"/>
    <x:sheet xmlns:r="http://schemas.openxmlformats.org/officeDocument/2006/relationships" name="Risks Decisions" sheetId="7" r:id="R747a54fae056478b"/>
    <x:sheet xmlns:r="http://schemas.openxmlformats.org/officeDocument/2006/relationships" name="Legend" sheetId="8" r:id="R7b98a3a11370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color rgb="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4B5563"/>
      </x:font>
      <x:fill>
        <x:patternFill patternType="solid">
          <x:bgColor rgb="F3F4F6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4B5563"/>
      </x:font>
      <x:fill>
        <x:patternFill patternType="solid">
          <x:bgColor rgb="F3F4F6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4B5563"/>
      </x:font>
      <x:fill>
        <x:patternFill patternType="solid">
          <x:bgColor rgb="F3F4F6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439102e1c46df" /><Relationship Type="http://schemas.openxmlformats.org/officeDocument/2006/relationships/theme" Target="/xl/theme/theme1.xml" Id="R92ee157138e943fd" /><Relationship Type="http://schemas.openxmlformats.org/officeDocument/2006/relationships/sharedStrings" Target="/xl/sharedStrings.xml" Id="R48a1924f4ca4466a" /><Relationship Type="http://schemas.openxmlformats.org/officeDocument/2006/relationships/worksheet" Target="/xl/worksheets/sheet1.xml" Id="R13cbed8f2d944c53" /><Relationship Type="http://schemas.openxmlformats.org/officeDocument/2006/relationships/worksheet" Target="/xl/worksheets/sheet2.xml" Id="R54e88dacbd944271" /><Relationship Type="http://schemas.openxmlformats.org/officeDocument/2006/relationships/worksheet" Target="/xl/worksheets/sheet3.xml" Id="R27d85847b68f4b52" /><Relationship Type="http://schemas.openxmlformats.org/officeDocument/2006/relationships/worksheet" Target="/xl/worksheets/sheet4.xml" Id="R4b54fa9cfdca483f" /><Relationship Type="http://schemas.openxmlformats.org/officeDocument/2006/relationships/worksheet" Target="/xl/worksheets/sheet5.xml" Id="Ra0676c9cf91f414f" /><Relationship Type="http://schemas.openxmlformats.org/officeDocument/2006/relationships/worksheet" Target="/xl/worksheets/sheet6.xml" Id="R0f94c9b7c1264e44" /><Relationship Type="http://schemas.openxmlformats.org/officeDocument/2006/relationships/worksheet" Target="/xl/worksheets/sheet7.xml" Id="R747a54fae056478b" /><Relationship Type="http://schemas.openxmlformats.org/officeDocument/2006/relationships/worksheet" Target="/xl/worksheets/sheet8.xml" Id="R7b98a3a1137045a7" /></Relationships>
</file>

<file path=xl/tables/table1.xml><?xml version="1.0" encoding="utf-8"?>
<x:table xmlns:x="http://schemas.openxmlformats.org/spreadsheetml/2006/main" id="1" name="PhaseRoadmapTable" displayName="PhaseRoadmapTable" ref="A1:E13" headerRowCount="1">
  <x:tableColumns count="5">
    <x:tableColumn id="1" name="Phase"/>
    <x:tableColumn id="2" name="Status"/>
    <x:tableColumn id="3" name="Priority"/>
    <x:tableColumn id="4" name="Next Action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FeatureInventoryTable" displayName="FeatureInventoryTable" ref="A1:H104" headerRowCount="1">
  <x:tableColumns count="8">
    <x:tableColumn id="1" name="Category"/>
    <x:tableColumn id="2" name="Feature"/>
    <x:tableColumn id="3" name="Status"/>
    <x:tableColumn id="4" name="Priority"/>
    <x:tableColumn id="5" name="Phase"/>
    <x:tableColumn id="6" name="Owner"/>
    <x:tableColumn id="7" name="Next Action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mpletedTable" displayName="CompletedTable" ref="A1:H69" headerRowCount="1">
  <x:tableColumns count="8">
    <x:tableColumn id="1" name="Category"/>
    <x:tableColumn id="2" name="Feature"/>
    <x:tableColumn id="3" name="Status"/>
    <x:tableColumn id="4" name="Priority"/>
    <x:tableColumn id="5" name="Phase"/>
    <x:tableColumn id="6" name="Owner"/>
    <x:tableColumn id="7" name="Next Action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OpenTodoTable" displayName="OpenTodoTable" ref="A1:H36" headerRowCount="1">
  <x:tableColumns count="8">
    <x:tableColumn id="1" name="Category"/>
    <x:tableColumn id="2" name="Feature"/>
    <x:tableColumn id="3" name="Status"/>
    <x:tableColumn id="4" name="Priority"/>
    <x:tableColumn id="5" name="Phase"/>
    <x:tableColumn id="6" name="Owner"/>
    <x:tableColumn id="7" name="Next Action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utoPackPlanTable" displayName="AutoPackPlanTable" ref="A1:F8" headerRowCount="1">
  <x:tableColumns count="6">
    <x:tableColumn id="1" name="Phase"/>
    <x:tableColumn id="2" name="Status"/>
    <x:tableColumn id="3" name="Goal"/>
    <x:tableColumn id="4" name="Tests / Browser Checks"/>
    <x:tableColumn id="5" name="Do Not Touch"/>
    <x:tableColumn id="6" name="Output"/>
  </x:tableColumns>
  <x:tableStyleInfo name="TableStyleMedium2" showRowStripes="1"/>
</x:table>
</file>

<file path=xl/tables/table6.xml><?xml version="1.0" encoding="utf-8"?>
<x:table xmlns:x="http://schemas.openxmlformats.org/spreadsheetml/2006/main" id="6" name="RisksDecisionsTable" displayName="RisksDecisionsTable" ref="A1:D11" headerRowCount="1">
  <x:tableColumns count="4">
    <x:tableColumn id="1" name="Risk / Decision"/>
    <x:tableColumn id="2" name="Priority"/>
    <x:tableColumn id="3" name="Status"/>
    <x:tableColumn id="4" name="Next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4fb0ebacd443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c9213e873447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20187b51114a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833b6b28884e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4499b260054c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3ccceaf37e468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4" max="4" width="8" hidden="0" customWidth="1"/>
    <x:col min="5" max="5" width="22" hidden="0" customWidth="1"/>
    <x:col min="6" max="6" width="60" hidden="0" customWidth="1"/>
    <x:col min="7" max="7" width="12" hidden="0" customWidth="1"/>
    <x:col min="8" max="8" width="16" hidden="0" customWidth="1"/>
  </x:cols>
  <x:sheetData>
    <x:row r="1" ht="26" customHeight="1">
      <x:c r="A1" s="34" t="str">
        <x:v>Truck Packer 3D — Clean Feature Tracker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12" t="str">
        <x:v>Generated 2026-05-24 from repo feature audit + current TODO direction. Keep TP3D-MASTER-TODO-V3.md as history; use this workbook as the clean tracker.</x:v>
      </x:c>
    </x:row>
    <x:row r="4">
      <x:c r="A4" s="20" t="str">
        <x:v>Metric</x:v>
      </x:c>
      <x:c r="B4" s="20" t="str">
        <x:v>Formula / Value</x:v>
      </x:c>
      <x:c r="D4" s="20" t="str">
        <x:v>Rank</x:v>
      </x:c>
      <x:c r="E4" s="20" t="str">
        <x:v>Phase</x:v>
      </x:c>
      <x:c r="F4" s="20" t="str">
        <x:v>Action</x:v>
      </x:c>
      <x:c r="G4" s="20" t="str">
        <x:v>Priority</x:v>
      </x:c>
      <x:c r="H4" s="20" t="str">
        <x:v>Timing</x:v>
      </x:c>
    </x:row>
    <x:row r="5">
      <x:c r="A5" t="str">
        <x:v>Total features tracked</x:v>
      </x:c>
      <x:c r="B5" t="n">
        <x:f>COUNTA('Feature Inventory'!B2:B104)</x:f>
        <x:v>103</x:v>
      </x:c>
      <x:c r="D5" t="n">
        <x:v>1</x:v>
      </x:c>
      <x:c r="E5" t="str">
        <x:v>AUTO-PACK-A0C</x:v>
      </x:c>
      <x:c r="F5" t="str">
        <x:v>Run full browser stress pass: units, import/export, staged collision, wheel wells/front bonus, manual edits, PDF smoke.</x:v>
      </x:c>
      <x:c r="G5" t="str">
        <x:v>P0</x:v>
      </x:c>
      <x:c r="H5" t="str">
        <x:v>Now</x:v>
      </x:c>
    </x:row>
    <x:row r="6">
      <x:c r="A6" t="str">
        <x:v>Completed / Verified</x:v>
      </x:c>
      <x:c r="B6" t="n">
        <x:f>COUNTIF('Feature Inventory'!C2:C104,"Implemented")+COUNTIF('Feature Inventory'!C2:C104,"Verified")</x:f>
        <x:v>68</x:v>
      </x:c>
      <x:c r="D6" t="n">
        <x:v>2</x:v>
      </x:c>
      <x:c r="E6" t="str">
        <x:v>UI-STABILIZATION-3B</x:v>
      </x:c>
      <x:c r="F6" t="str">
        <x:v>Settings mobile/responsive polish from approved main.css-only plan.</x:v>
      </x:c>
      <x:c r="G6" t="str">
        <x:v>P1</x:v>
      </x:c>
      <x:c r="H6" t="str">
        <x:v>Next available</x:v>
      </x:c>
    </x:row>
    <x:row r="7">
      <x:c r="A7" t="str">
        <x:v>Open / Planned / Partial</x:v>
      </x:c>
      <x:c r="B7" t="n">
        <x:f>COUNTIF('Feature Inventory'!C2:C104,"Open")+COUNTIF('Feature Inventory'!C2:C104,"Planned")+COUNTIF('Feature Inventory'!C2:C104,"Partial")+COUNTIF('Feature Inventory'!C2:C104,"Needs Validation")+COUNTIF('Feature Inventory'!C2:C104,"Next")</x:f>
        <x:v>28</x:v>
      </x:c>
      <x:c r="D7" t="n">
        <x:v>3</x:v>
      </x:c>
      <x:c r="E7" t="str">
        <x:v>AUTO-PACK-A1A</x:v>
      </x:c>
      <x:c r="F7" t="str">
        <x:v>Add solver fixtures and stack rule tests before scoring changes.</x:v>
      </x:c>
      <x:c r="G7" t="str">
        <x:v>P0</x:v>
      </x:c>
      <x:c r="H7" t="str">
        <x:v>After A0C</x:v>
      </x:c>
    </x:row>
    <x:row r="8">
      <x:c r="A8" t="str">
        <x:v>Deferred</x:v>
      </x:c>
      <x:c r="B8" t="n">
        <x:f>COUNTIF('Feature Inventory'!C2:C104,"Deferred")</x:f>
        <x:v>7</x:v>
      </x:c>
      <x:c r="D8" t="n">
        <x:v>4</x:v>
      </x:c>
      <x:c r="E8" t="str">
        <x:v>AUTO-PACK-A1B</x:v>
      </x:c>
      <x:c r="F8" t="str">
        <x:v>Improve scoring and stacking quality based on fixture failures.</x:v>
      </x:c>
      <x:c r="G8" t="str">
        <x:v>P0</x:v>
      </x:c>
      <x:c r="H8" t="str">
        <x:v>After A1A</x:v>
      </x:c>
    </x:row>
    <x:row r="9">
      <x:c r="A9" t="str">
        <x:v>P0/P1 active pressure</x:v>
      </x:c>
      <x:c r="B9" t="n">
        <x:f>COUNTIF('Feature Inventory'!D2:D104,"P0")+COUNTIF('Feature Inventory'!D2:D104,"P0/P1")+COUNTIF('Feature Inventory'!D2:D104,"P1")</x:f>
        <x:v>75</x:v>
      </x:c>
      <x:c r="D9" t="n">
        <x:v>5</x:v>
      </x:c>
      <x:c r="E9" t="str">
        <x:v>Units Display Fix</x:v>
      </x:c>
      <x:c r="F9" t="str">
        <x:v>If A0C confirms preferences save but UI does not update, fix user-facing conversion display.</x:v>
      </x:c>
      <x:c r="G9" t="str">
        <x:v>P0/P1</x:v>
      </x:c>
      <x:c r="H9" t="str">
        <x:v>Conditional</x:v>
      </x:c>
    </x:row>
    <x:row r="10">
      <x:c r="D10" t="n">
        <x:v>6</x:v>
      </x:c>
      <x:c r="E10" t="str">
        <x:v>Import/Export Hardening</x:v>
      </x:c>
      <x:c r="F10" t="str">
        <x:v>Fix any A0C import/export bugs; protect orientation/folders/sensitive-data boundaries.</x:v>
      </x:c>
      <x:c r="G10" t="str">
        <x:v>P1</x:v>
      </x:c>
      <x:c r="H10" t="str">
        <x:v>Conditional</x:v>
      </x:c>
    </x:row>
    <x:row r="11">
      <x:c r="A11" s="28" t="str">
        <x:v>Recommended focus: finish AUTO-PACK-A0C browser stress first, then A1 solver fixtures/scoring. Keep UI mobile polish separate and do not begin app.js modularization yet.</x:v>
      </x:c>
      <x:c r="D11" t="n">
        <x:v>7</x:v>
      </x:c>
      <x:c r="E11" t="str">
        <x:v>Payload Scale</x:v>
      </x:c>
      <x:c r="F11" t="str">
        <x:v>Add capacity/current/remaining/excess/% panel.</x:v>
      </x:c>
      <x:c r="G11" t="str">
        <x:v>P1</x:v>
      </x:c>
      <x:c r="H11" t="str">
        <x:v>After A1</x:v>
      </x:c>
    </x:row>
    <x:row r="12">
      <x:c r="D12" t="n">
        <x:v>8</x:v>
      </x:c>
      <x:c r="E12" t="str">
        <x:v>Weight View</x:v>
      </x:c>
      <x:c r="F12" t="str">
        <x:v>Add heatmap toggle with min/max controls.</x:v>
      </x:c>
      <x:c r="G12" t="str">
        <x:v>P1</x:v>
      </x:c>
      <x:c r="H12" t="str">
        <x:v>After Scale</x:v>
      </x:c>
    </x:row>
    <x:row r="13">
      <x:c r="D13" t="n">
        <x:v>9</x:v>
      </x:c>
      <x:c r="E13" t="str">
        <x:v>Multi-solution AutoPack</x:v>
      </x:c>
      <x:c r="F13" t="str">
        <x:v>Add dynamic Solution N of M model and UI.</x:v>
      </x:c>
      <x:c r="G13" t="str">
        <x:v>P1</x:v>
      </x:c>
      <x:c r="H13" t="str">
        <x:v>After A1</x:v>
      </x:c>
    </x:row>
    <x:row r="14">
      <x:c r="D14" t="n">
        <x:v>10</x:v>
      </x:c>
      <x:c r="E14" t="str">
        <x:v>M0 Planning</x:v>
      </x:c>
      <x:c r="F14" t="str">
        <x:v>Plan app.js modularization after geometry/solver contracts are stable.</x:v>
      </x:c>
      <x:c r="G14" t="str">
        <x:v>P2</x:v>
      </x:c>
      <x:c r="H14" t="str">
        <x:v>Later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55" hidden="0" customWidth="1"/>
    <x:col min="5" max="5" width="60" hidden="0" customWidth="1"/>
  </x:cols>
  <x:sheetData>
    <x:row r="1" ht="26" customHeight="1">
      <x:c r="A1" s="38" t="str">
        <x:v>Phase</x:v>
      </x:c>
      <x:c r="B1" s="38" t="str">
        <x:v>Status</x:v>
      </x:c>
      <x:c r="C1" s="38" t="str">
        <x:v>Priority</x:v>
      </x:c>
      <x:c r="D1" s="38" t="str">
        <x:v>Next Action</x:v>
      </x:c>
      <x:c r="E1" s="38" t="str">
        <x:v>Notes</x:v>
      </x:c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2" t="str">
        <x:v>P0 Billing &amp; Access</x:v>
      </x:c>
      <x:c r="B2" s="32" t="str">
        <x:v>Verified / mostly green</x:v>
      </x:c>
      <x:c r="C2" s="32" t="str">
        <x:v>P0</x:v>
      </x:c>
      <x:c r="D2" s="32" t="str">
        <x:v>Keep stable; finish portal edge-case validation</x:v>
      </x:c>
      <x:c r="E2" s="32" t="str">
        <x:v>Do not mix with UI/AutoPack work.</x:v>
      </x:c>
    </x:row>
    <x:row r="3">
      <x:c r="A3" s="32" t="str">
        <x:v>P0 Workspace Foundation</x:v>
      </x:c>
      <x:c r="B3" s="32" t="str">
        <x:v>Mostly verified</x:v>
      </x:c>
      <x:c r="C3" s="32" t="str">
        <x:v>P0</x:v>
      </x:c>
      <x:c r="D3" s="32" t="str">
        <x:v>Restore billing refresh and transfer billing policy sign-off</x:v>
      </x:c>
      <x:c r="E3" s="32" t="str">
        <x:v>Core creation/switching/archiving mostly stable.</x:v>
      </x:c>
    </x:row>
    <x:row r="4">
      <x:c r="A4" s="32" t="str">
        <x:v>P1 Membership Lifecycle</x:v>
      </x:c>
      <x:c r="B4" s="32" t="str">
        <x:v>Mostly complete</x:v>
      </x:c>
      <x:c r="C4" s="32" t="str">
        <x:v>P1</x:v>
      </x:c>
      <x:c r="D4" s="32" t="str">
        <x:v>Removed-member two-tab sign-off; Admin remove-member live sign-off</x:v>
      </x:c>
      <x:c r="E4" s="32" t="str">
        <x:v>Invite core stable.</x:v>
      </x:c>
    </x:row>
    <x:row r="5">
      <x:c r="A5" s="32" t="str">
        <x:v>UI Stabilization</x:v>
      </x:c>
      <x:c r="B5" s="32" t="str">
        <x:v>In progress</x:v>
      </x:c>
      <x:c r="C5" s="32" t="str">
        <x:v>P1</x:v>
      </x:c>
      <x:c r="D5" s="32" t="str">
        <x:v>Run Settings mobile/responsive polish; Resources visual polish</x:v>
      </x:c>
      <x:c r="E5" s="32" t="str">
        <x:v>Do before broad inline CSS migration.</x:v>
      </x:c>
    </x:row>
    <x:row r="6">
      <x:c r="A6" s="32" t="str">
        <x:v>AUTO-PACK-A0/A0B</x:v>
      </x:c>
      <x:c r="B6" s="32" t="str">
        <x:v>Implemented</x:v>
      </x:c>
      <x:c r="C6" s="32" t="str">
        <x:v>P0</x:v>
      </x:c>
      <x:c r="D6" s="32" t="str">
        <x:v>Run A0C browser stress pass</x:v>
      </x:c>
      <x:c r="E6" s="32" t="str">
        <x:v>Orientation lock contract protected.</x:v>
      </x:c>
    </x:row>
    <x:row r="7">
      <x:c r="A7" s="32" t="str">
        <x:v>AUTO-PACK-A1</x:v>
      </x:c>
      <x:c r="B7" s="32" t="str">
        <x:v>Next solver phase</x:v>
      </x:c>
      <x:c r="C7" s="32" t="str">
        <x:v>P0</x:v>
      </x:c>
      <x:c r="D7" s="32" t="str">
        <x:v>Fixture tests + stack rules + scoring quality</x:v>
      </x:c>
      <x:c r="E7" s="32" t="str">
        <x:v>Must precede multi-solution.</x:v>
      </x:c>
    </x:row>
    <x:row r="8">
      <x:c r="A8" s="32" t="str">
        <x:v>AUTO-PACK-A2</x:v>
      </x:c>
      <x:c r="B8" s="32" t="str">
        <x:v>Planned</x:v>
      </x:c>
      <x:c r="C8" s="32" t="str">
        <x:v>P1</x:v>
      </x:c>
      <x:c r="D8" s="32" t="str">
        <x:v>Dynamic 1–5 solution model and navigation</x:v>
      </x:c>
      <x:c r="E8" s="32" t="str">
        <x:v>After single-solution correctness.</x:v>
      </x:c>
    </x:row>
    <x:row r="9">
      <x:c r="A9" s="32" t="str">
        <x:v>Payload / Weight View</x:v>
      </x:c>
      <x:c r="B9" s="32" t="str">
        <x:v>Planned</x:v>
      </x:c>
      <x:c r="C9" s="32" t="str">
        <x:v>P1</x:v>
      </x:c>
      <x:c r="D9" s="32" t="str">
        <x:v>Scale panel then Weight View</x:v>
      </x:c>
      <x:c r="E9" s="32" t="str">
        <x:v>After pack stats and solver trust.</x:v>
      </x:c>
    </x:row>
    <x:row r="10">
      <x:c r="A10" s="32" t="str">
        <x:v>PDF Parity</x:v>
      </x:c>
      <x:c r="B10" s="32" t="str">
        <x:v>Planned</x:v>
      </x:c>
      <x:c r="C10" s="32" t="str">
        <x:v>P1/P2</x:v>
      </x:c>
      <x:c r="D10" s="32" t="str">
        <x:v>Weight capacity header; grouped case summary; color chips</x:v>
      </x:c>
      <x:c r="E10" s="32" t="str">
        <x:v>After Scale/payload.</x:v>
      </x:c>
    </x:row>
    <x:row r="11">
      <x:c r="A11" s="32" t="str">
        <x:v>Crew View / Share</x:v>
      </x:c>
      <x:c r="B11" s="32" t="str">
        <x:v>Deferred</x:v>
      </x:c>
      <x:c r="C11" s="32" t="str">
        <x:v>P2</x:v>
      </x:c>
      <x:c r="D11" s="32" t="str">
        <x:v>Read-only share route and checklist</x:v>
      </x:c>
      <x:c r="E11" s="32" t="str">
        <x:v>After reliable layouts and export/reporting.</x:v>
      </x:c>
    </x:row>
    <x:row r="12">
      <x:c r="A12" s="32" t="str">
        <x:v>Server-backed Packs/Cases</x:v>
      </x:c>
      <x:c r="B12" s="32" t="str">
        <x:v>Planned</x:v>
      </x:c>
      <x:c r="C12" s="32" t="str">
        <x:v>P1/P2</x:v>
      </x:c>
      <x:c r="D12" s="32" t="str">
        <x:v>Supabase table/RLS/data sync design</x:v>
      </x:c>
      <x:c r="E12" s="32" t="str">
        <x:v>After local base stable.</x:v>
      </x:c>
    </x:row>
    <x:row r="13">
      <x:c r="A13" s="32" t="str">
        <x:v>M0 app.js Modularization</x:v>
      </x:c>
      <x:c r="B13" s="32" t="str">
        <x:v>Deferred</x:v>
      </x:c>
      <x:c r="C13" s="32" t="str">
        <x:v>P2</x:v>
      </x:c>
      <x:c r="D13" s="32" t="str">
        <x:v>Extract geometry then solver module</x:v>
      </x:c>
      <x:c r="E13" s="32" t="str">
        <x:v>Not before P0/UI/AutoPack base.</x:v>
      </x:c>
    </x:row>
  </x:sheetData>
  <x:pageMargins left="0.7" right="0.7" top="0.75" bottom="0.75" header="0.3" footer="0.3"/>
  <x:tableParts count="1">
    <x:tablePart xmlns:r="http://schemas.openxmlformats.org/officeDocument/2006/relationships" r:id="R5c4fb0ebacd443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12" hidden="0" customWidth="1"/>
    <x:col min="5" max="5" width="24" hidden="0" customWidth="1"/>
    <x:col min="6" max="6" width="16" hidden="0" customWidth="1"/>
    <x:col min="7" max="7" width="45" hidden="0" customWidth="1"/>
    <x:col min="8" max="8" width="58" hidden="0" customWidth="1"/>
  </x:cols>
  <x:sheetData>
    <x:row r="1" ht="26" customHeight="1">
      <x:c r="A1" s="38" t="str">
        <x:v>Category</x:v>
      </x:c>
      <x:c r="B1" s="38" t="str">
        <x:v>Feature</x:v>
      </x:c>
      <x:c r="C1" s="38" t="str">
        <x:v>Status</x:v>
      </x:c>
      <x:c r="D1" s="38" t="str">
        <x:v>Priority</x:v>
      </x:c>
      <x:c r="E1" s="38" t="str">
        <x:v>Phase</x:v>
      </x:c>
      <x:c r="F1" s="38" t="str">
        <x:v>Owner</x:v>
      </x:c>
      <x:c r="G1" s="38" t="str">
        <x:v>Next Action</x:v>
      </x:c>
      <x:c r="H1" s="38" t="str">
        <x:v>Notes</x:v>
      </x:c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2" t="str">
        <x:v>3D Editor</x:v>
      </x:c>
      <x:c r="B2" s="32" t="str">
        <x:v>Interactive Three.js editor: orbit, pan, zoom</x:v>
      </x:c>
      <x:c r="C2" s="32" t="str">
        <x:v>Implemented</x:v>
      </x:c>
      <x:c r="D2" s="32" t="str">
        <x:v>P1</x:v>
      </x:c>
      <x:c r="E2" s="32" t="str">
        <x:v>Editor Core</x:v>
      </x:c>
      <x:c r="F2" s="32" t="str"/>
      <x:c r="G2" s="32" t="str">
        <x:v>Validate during A0C browser pass</x:v>
      </x:c>
      <x:c r="H2" s="32" t="str">
        <x:v>Core editor surface exists.</x:v>
      </x:c>
    </x:row>
    <x:row r="3">
      <x:c r="A3" s="32" t="str">
        <x:v>3D Editor</x:v>
      </x:c>
      <x:c r="B3" s="32" t="str">
        <x:v>Top / Side / Perspective views</x:v>
      </x:c>
      <x:c r="C3" s="32" t="str">
        <x:v>Implemented</x:v>
      </x:c>
      <x:c r="D3" s="32" t="str">
        <x:v>P2</x:v>
      </x:c>
      <x:c r="E3" s="32" t="str">
        <x:v>Editor Core</x:v>
      </x:c>
      <x:c r="F3" s="32" t="str"/>
      <x:c r="G3" s="32" t="str">
        <x:v>Smoke test in browser</x:v>
      </x:c>
      <x:c r="H3" s="32" t="str">
        <x:v>Ortho views exist; front/rear still future for PDF.</x:v>
      </x:c>
    </x:row>
    <x:row r="4">
      <x:c r="A4" s="32" t="str">
        <x:v>3D Editor</x:v>
      </x:c>
      <x:c r="B4" s="32" t="str">
        <x:v>Case selection and multi-select</x:v>
      </x:c>
      <x:c r="C4" s="32" t="str">
        <x:v>Implemented</x:v>
      </x:c>
      <x:c r="D4" s="32" t="str">
        <x:v>P1</x:v>
      </x:c>
      <x:c r="E4" s="32" t="str">
        <x:v>Editor Core</x:v>
      </x:c>
      <x:c r="F4" s="32" t="str"/>
      <x:c r="G4" s="32" t="str">
        <x:v>Stress test selection after AutoPack</x:v>
      </x:c>
      <x:c r="H4" s="32" t="str">
        <x:v>Click, shift-click, Ctrl/Cmd+A.</x:v>
      </x:c>
    </x:row>
    <x:row r="5">
      <x:c r="A5" s="32" t="str">
        <x:v>3D Editor</x:v>
      </x:c>
      <x:c r="B5" s="32" t="str">
        <x:v>Drag / translate cases</x:v>
      </x:c>
      <x:c r="C5" s="32" t="str">
        <x:v>Implemented</x:v>
      </x:c>
      <x:c r="D5" s="32" t="str">
        <x:v>P1</x:v>
      </x:c>
      <x:c r="E5" s="32" t="str">
        <x:v>Editor Core</x:v>
      </x:c>
      <x:c r="F5" s="32" t="str"/>
      <x:c r="G5" s="32" t="str">
        <x:v>Stress test collision and bounds</x:v>
      </x:c>
      <x:c r="H5" s="32" t="str">
        <x:v>Manual movement exists; boundary behavior must be tested.</x:v>
      </x:c>
    </x:row>
    <x:row r="6">
      <x:c r="A6" s="32" t="str">
        <x:v>3D Editor</x:v>
      </x:c>
      <x:c r="B6" s="32" t="str">
        <x:v>Copy / paste / duplicate / delete cases</x:v>
      </x:c>
      <x:c r="C6" s="32" t="str">
        <x:v>Implemented</x:v>
      </x:c>
      <x:c r="D6" s="32" t="str">
        <x:v>P1</x:v>
      </x:c>
      <x:c r="E6" s="32" t="str">
        <x:v>Editor Core</x:v>
      </x:c>
      <x:c r="F6" s="32" t="str"/>
      <x:c r="G6" s="32" t="str">
        <x:v>A0C browser test; keyboard may be headless-sensitive</x:v>
      </x:c>
      <x:c r="H6" s="32" t="str">
        <x:v>A0B preserves orientation metadata.</x:v>
      </x:c>
    </x:row>
    <x:row r="7">
      <x:c r="A7" s="32" t="str">
        <x:v>3D Editor</x:v>
      </x:c>
      <x:c r="B7" s="32" t="str">
        <x:v>Undo / Redo</x:v>
      </x:c>
      <x:c r="C7" s="32" t="str">
        <x:v>Implemented</x:v>
      </x:c>
      <x:c r="D7" s="32" t="str">
        <x:v>P1</x:v>
      </x:c>
      <x:c r="E7" s="32" t="str">
        <x:v>Editor Core</x:v>
      </x:c>
      <x:c r="F7" s="32" t="str"/>
      <x:c r="G7" s="32" t="str">
        <x:v>Stress test after rotate, delete, AutoPack</x:v>
      </x:c>
      <x:c r="H7" s="32" t="str">
        <x:v>StateStore-backed.</x:v>
      </x:c>
    </x:row>
    <x:row r="8">
      <x:c r="A8" s="32" t="str">
        <x:v>3D Editor</x:v>
      </x:c>
      <x:c r="B8" s="32" t="str">
        <x:v>Snapping system</x:v>
      </x:c>
      <x:c r="C8" s="32" t="str">
        <x:v>Partial</x:v>
      </x:c>
      <x:c r="D8" s="32" t="str">
        <x:v>P1</x:v>
      </x:c>
      <x:c r="E8" s="32" t="str">
        <x:v>Editor Core</x:v>
      </x:c>
      <x:c r="F8" s="32" t="str"/>
      <x:c r="G8" s="32" t="str">
        <x:v>A0C collision/snap browser test</x:v>
      </x:c>
      <x:c r="H8" s="32" t="str">
        <x:v>A0B fixed missing geometry-property usage.</x:v>
      </x:c>
    </x:row>
    <x:row r="9">
      <x:c r="A9" s="32" t="str">
        <x:v>3D Editor</x:v>
      </x:c>
      <x:c r="B9" s="32" t="str">
        <x:v>Gravity / resting simulation</x:v>
      </x:c>
      <x:c r="C9" s="32" t="str">
        <x:v>Partial</x:v>
      </x:c>
      <x:c r="D9" s="32" t="str">
        <x:v>P0</x:v>
      </x:c>
      <x:c r="E9" s="32" t="str">
        <x:v>AutoPack A1</x:v>
      </x:c>
      <x:c r="F9" s="32" t="str"/>
      <x:c r="G9" s="32" t="str">
        <x:v>A1 tests for stacking and staged items</x:v>
      </x:c>
      <x:c r="H9" s="32" t="str">
        <x:v>Existing findRestingY; scoring/stack enforcement still needs hardening.</x:v>
      </x:c>
    </x:row>
    <x:row r="10">
      <x:c r="A10" s="32" t="str">
        <x:v>3D Editor</x:v>
      </x:c>
      <x:c r="B10" s="32" t="str">
        <x:v>Staging area outside truck</x:v>
      </x:c>
      <x:c r="C10" s="32" t="str">
        <x:v>Needs Validation</x:v>
      </x:c>
      <x:c r="D10" s="32" t="str">
        <x:v>P0</x:v>
      </x:c>
      <x:c r="E10" s="32" t="str">
        <x:v>AutoPack A0C</x:v>
      </x:c>
      <x:c r="F10" s="32" t="str"/>
      <x:c r="G10" s="32" t="str">
        <x:v>Validate staged item spacing and collision</x:v>
      </x:c>
      <x:c r="H10" s="32" t="str">
        <x:v>User wants staged/unpacked items not overlapping.</x:v>
      </x:c>
    </x:row>
    <x:row r="11">
      <x:c r="A11" s="32" t="str">
        <x:v>3D Editor</x:v>
      </x:c>
      <x:c r="B11" s="32" t="str">
        <x:v>CoG indicator</x:v>
      </x:c>
      <x:c r="C11" s="32" t="str">
        <x:v>Implemented</x:v>
      </x:c>
      <x:c r="D11" s="32" t="str">
        <x:v>P2</x:v>
      </x:c>
      <x:c r="E11" s="32" t="str">
        <x:v>Editor Core</x:v>
      </x:c>
      <x:c r="F11" s="32" t="str"/>
      <x:c r="G11" s="32" t="str">
        <x:v>Defer until solver stable</x:v>
      </x:c>
      <x:c r="H11" s="32" t="str">
        <x:v>Existing cog-service.</x:v>
      </x:c>
    </x:row>
    <x:row r="12">
      <x:c r="A12" s="32" t="str">
        <x:v>3D Editor</x:v>
      </x:c>
      <x:c r="B12" s="32" t="str">
        <x:v>Performance overlay</x:v>
      </x:c>
      <x:c r="C12" s="32" t="str">
        <x:v>Implemented</x:v>
      </x:c>
      <x:c r="D12" s="32" t="str">
        <x:v>P3</x:v>
      </x:c>
      <x:c r="E12" s="32" t="str">
        <x:v>Dev Tooling</x:v>
      </x:c>
      <x:c r="F12" s="32" t="str"/>
      <x:c r="G12" s="32" t="str">
        <x:v>Keep</x:v>
      </x:c>
      <x:c r="H12" s="32" t="str">
        <x:v>P key overlay.</x:v>
      </x:c>
    </x:row>
    <x:row r="13">
      <x:c r="A13" s="32" t="str">
        <x:v>Case Library</x:v>
      </x:c>
      <x:c r="B13" s="32" t="str">
        <x:v>Create / edit cases with dimensions, color, weight, manufacturer, category</x:v>
      </x:c>
      <x:c r="C13" s="32" t="str">
        <x:v>Implemented</x:v>
      </x:c>
      <x:c r="D13" s="32" t="str">
        <x:v>P1</x:v>
      </x:c>
      <x:c r="E13" s="32" t="str">
        <x:v>Case Library</x:v>
      </x:c>
      <x:c r="F13" s="32" t="str"/>
      <x:c r="G13" s="32" t="str">
        <x:v>Regression test after unit fixes</x:v>
      </x:c>
      <x:c r="H13" s="32" t="str">
        <x:v>Core case UI exists.</x:v>
      </x:c>
    </x:row>
    <x:row r="14">
      <x:c r="A14" s="32" t="str">
        <x:v>Case Library</x:v>
      </x:c>
      <x:c r="B14" s="32" t="str">
        <x:v>Case categories and colors</x:v>
      </x:c>
      <x:c r="C14" s="32" t="str">
        <x:v>Implemented</x:v>
      </x:c>
      <x:c r="D14" s="32" t="str">
        <x:v>P2</x:v>
      </x:c>
      <x:c r="E14" s="32" t="str">
        <x:v>Case Library</x:v>
      </x:c>
      <x:c r="F14" s="32" t="str"/>
      <x:c r="G14" s="32" t="str">
        <x:v>Keep</x:v>
      </x:c>
      <x:c r="H14" s="32" t="str">
        <x:v>Manage categories exists.</x:v>
      </x:c>
    </x:row>
    <x:row r="15">
      <x:c r="A15" s="32" t="str">
        <x:v>Case Library</x:v>
      </x:c>
      <x:c r="B15" s="32" t="str">
        <x:v>Case search and sorting</x:v>
      </x:c>
      <x:c r="C15" s="32" t="str">
        <x:v>Implemented</x:v>
      </x:c>
      <x:c r="D15" s="32" t="str">
        <x:v>P2</x:v>
      </x:c>
      <x:c r="E15" s="32" t="str">
        <x:v>Case Library</x:v>
      </x:c>
      <x:c r="F15" s="32" t="str"/>
      <x:c r="G15" s="32" t="str">
        <x:v>Keep</x:v>
      </x:c>
      <x:c r="H15" s="32" t="str">
        <x:v>Search, sort indicators.</x:v>
      </x:c>
    </x:row>
    <x:row r="16">
      <x:c r="A16" s="32" t="str">
        <x:v>Case Library</x:v>
      </x:c>
      <x:c r="B16" s="32" t="str">
        <x:v>Cylinder / drum shape support</x:v>
      </x:c>
      <x:c r="C16" s="32" t="str">
        <x:v>Implemented</x:v>
      </x:c>
      <x:c r="D16" s="32" t="str">
        <x:v>P3</x:v>
      </x:c>
      <x:c r="E16" s="32" t="str">
        <x:v>Case Library</x:v>
      </x:c>
      <x:c r="F16" s="32" t="str"/>
      <x:c r="G16" s="32" t="str">
        <x:v>Validate volume sorting later</x:v>
      </x:c>
      <x:c r="H16" s="32" t="str">
        <x:v>Geometry factory exists; volume calculation still tracked as possible low bug.</x:v>
      </x:c>
    </x:row>
    <x:row r="17">
      <x:c r="A17" s="32" t="str">
        <x:v>Case Library</x:v>
      </x:c>
      <x:c r="B17" s="32" t="str">
        <x:v>Stackable true/false</x:v>
      </x:c>
      <x:c r="C17" s="32" t="str">
        <x:v>Partial</x:v>
      </x:c>
      <x:c r="D17" s="32" t="str">
        <x:v>P0</x:v>
      </x:c>
      <x:c r="E17" s="32" t="str">
        <x:v>AutoPack A1</x:v>
      </x:c>
      <x:c r="F17" s="32" t="str"/>
      <x:c r="G17" s="32" t="str">
        <x:v>Enforce in solver with tests</x:v>
      </x:c>
      <x:c r="H17" s="32" t="str">
        <x:v>Model has fields; enforcement still needs proof.</x:v>
      </x:c>
    </x:row>
    <x:row r="18">
      <x:c r="A18" s="32" t="str">
        <x:v>Case Library</x:v>
      </x:c>
      <x:c r="B18" s="32" t="str">
        <x:v>noStackOnTop</x:v>
      </x:c>
      <x:c r="C18" s="32" t="str">
        <x:v>Partial</x:v>
      </x:c>
      <x:c r="D18" s="32" t="str">
        <x:v>P0</x:v>
      </x:c>
      <x:c r="E18" s="32" t="str">
        <x:v>AutoPack A1</x:v>
      </x:c>
      <x:c r="F18" s="32" t="str"/>
      <x:c r="G18" s="32" t="str">
        <x:v>Add fixture and browser stress</x:v>
      </x:c>
      <x:c r="H18" s="32" t="str">
        <x:v>A1 focus.</x:v>
      </x:c>
    </x:row>
    <x:row r="19">
      <x:c r="A19" s="32" t="str">
        <x:v>Case Library</x:v>
      </x:c>
      <x:c r="B19" s="32" t="str">
        <x:v>Max stack count</x:v>
      </x:c>
      <x:c r="C19" s="32" t="str">
        <x:v>Partial</x:v>
      </x:c>
      <x:c r="D19" s="32" t="str">
        <x:v>P0</x:v>
      </x:c>
      <x:c r="E19" s="32" t="str">
        <x:v>AutoPack A1</x:v>
      </x:c>
      <x:c r="F19" s="32" t="str"/>
      <x:c r="G19" s="32" t="str">
        <x:v>Clarify total tower enforcement</x:v>
      </x:c>
      <x:c r="H19" s="32" t="str">
        <x:v>Currently partially enforced directly above base only.</x:v>
      </x:c>
    </x:row>
    <x:row r="20">
      <x:c r="A20" s="32" t="str">
        <x:v>Case Library</x:v>
      </x:c>
      <x:c r="B20" s="32" t="str">
        <x:v>Manual orientation lock after rotate/flip</x:v>
      </x:c>
      <x:c r="C20" s="32" t="str">
        <x:v>Implemented</x:v>
      </x:c>
      <x:c r="D20" s="32" t="str">
        <x:v>P0</x:v>
      </x:c>
      <x:c r="E20" s="32" t="str">
        <x:v>AutoPack A0/A0B</x:v>
      </x:c>
      <x:c r="F20" s="32" t="str"/>
      <x:c r="G20" s="32" t="str">
        <x:v>A0C browser stress</x:v>
      </x:c>
      <x:c r="H20" s="32" t="str">
        <x:v>A0 + A0B committed; metadata preserved.</x:v>
      </x:c>
    </x:row>
    <x:row r="21">
      <x:c r="A21" s="32" t="str">
        <x:v>Case Library</x:v>
      </x:c>
      <x:c r="B21" s="32" t="str">
        <x:v>With Like stacking</x:v>
      </x:c>
      <x:c r="C21" s="32" t="str">
        <x:v>Planned</x:v>
      </x:c>
      <x:c r="D21" s="32" t="str">
        <x:v>P1</x:v>
      </x:c>
      <x:c r="E21" s="32" t="str">
        <x:v>AutoPack A1/B</x:v>
      </x:c>
      <x:c r="F21" s="32" t="str"/>
      <x:c r="G21" s="32" t="str">
        <x:v>Verify reference behavior before schema/UI change</x:v>
      </x:c>
      <x:c r="H21" s="32" t="str">
        <x:v>Reference app evidence mixed; do not rush.</x:v>
      </x:c>
    </x:row>
    <x:row r="22">
      <x:c r="A22" s="32" t="str">
        <x:v>Case Library</x:v>
      </x:c>
      <x:c r="B22" s="32" t="str">
        <x:v>Pallet flag</x:v>
      </x:c>
      <x:c r="C22" s="32" t="str">
        <x:v>Deferred</x:v>
      </x:c>
      <x:c r="D22" s="32" t="str">
        <x:v>P3</x:v>
      </x:c>
      <x:c r="E22" s="32" t="str">
        <x:v>Future Packing Groups</x:v>
      </x:c>
      <x:c r="F22" s="32" t="str"/>
      <x:c r="G22" s="32" t="str">
        <x:v>Defer</x:v>
      </x:c>
      <x:c r="H22" s="32" t="str">
        <x:v>Model field exists, not used.</x:v>
      </x:c>
    </x:row>
    <x:row r="23">
      <x:c r="A23" s="32" t="str">
        <x:v>Case Library</x:v>
      </x:c>
      <x:c r="B23" s="32" t="str">
        <x:v>Case Browser Category tab</x:v>
      </x:c>
      <x:c r="C23" s="32" t="str">
        <x:v>Implemented</x:v>
      </x:c>
      <x:c r="D23" s="32" t="str">
        <x:v>P2</x:v>
      </x:c>
      <x:c r="E23" s="32" t="str">
        <x:v>Editor Case Browser</x:v>
      </x:c>
      <x:c r="F23" s="32" t="str"/>
      <x:c r="G23" s="32" t="str">
        <x:v>Keep</x:v>
      </x:c>
      <x:c r="H23" s="32" t="str">
        <x:v>Exists.</x:v>
      </x:c>
    </x:row>
    <x:row r="24">
      <x:c r="A24" s="32" t="str">
        <x:v>Case Library</x:v>
      </x:c>
      <x:c r="B24" s="32" t="str">
        <x:v>Case Browser Manufacturer tab</x:v>
      </x:c>
      <x:c r="C24" s="32" t="str">
        <x:v>Implemented</x:v>
      </x:c>
      <x:c r="D24" s="32" t="str">
        <x:v>P2</x:v>
      </x:c>
      <x:c r="E24" s="32" t="str">
        <x:v>Editor Case Browser</x:v>
      </x:c>
      <x:c r="F24" s="32" t="str"/>
      <x:c r="G24" s="32" t="str">
        <x:v>Validate in browser</x:v>
      </x:c>
      <x:c r="H24" s="32" t="str">
        <x:v>Codex says exists in current code.</x:v>
      </x:c>
    </x:row>
    <x:row r="25">
      <x:c r="A25" s="32" t="str">
        <x:v>Pack Management</x:v>
      </x:c>
      <x:c r="B25" s="32" t="str">
        <x:v>Create / edit packs</x:v>
      </x:c>
      <x:c r="C25" s="32" t="str">
        <x:v>Implemented</x:v>
      </x:c>
      <x:c r="D25" s="32" t="str">
        <x:v>P1</x:v>
      </x:c>
      <x:c r="E25" s="32" t="str">
        <x:v>Pack Management</x:v>
      </x:c>
      <x:c r="F25" s="32" t="str"/>
      <x:c r="G25" s="32" t="str">
        <x:v>Keep</x:v>
      </x:c>
      <x:c r="H25" s="32" t="str">
        <x:v>Title/client/project/truck dims.</x:v>
      </x:c>
    </x:row>
    <x:row r="26">
      <x:c r="A26" s="32" t="str">
        <x:v>Pack Management</x:v>
      </x:c>
      <x:c r="B26" s="32" t="str">
        <x:v>Truck shape: rectangle</x:v>
      </x:c>
      <x:c r="C26" s="32" t="str">
        <x:v>Implemented</x:v>
      </x:c>
      <x:c r="D26" s="32" t="str">
        <x:v>P0</x:v>
      </x:c>
      <x:c r="E26" s="32" t="str">
        <x:v>Geometry</x:v>
      </x:c>
      <x:c r="F26" s="32" t="str"/>
      <x:c r="G26" s="32" t="str">
        <x:v>A0C validate</x:v>
      </x:c>
      <x:c r="H26" s="32" t="str">
        <x:v>Standard container.</x:v>
      </x:c>
    </x:row>
    <x:row r="27">
      <x:c r="A27" s="32" t="str">
        <x:v>Pack Management</x:v>
      </x:c>
      <x:c r="B27" s="32" t="str">
        <x:v>Truck shape: wheel wells</x:v>
      </x:c>
      <x:c r="C27" s="32" t="str">
        <x:v>Implemented</x:v>
      </x:c>
      <x:c r="D27" s="32" t="str">
        <x:v>P0</x:v>
      </x:c>
      <x:c r="E27" s="32" t="str">
        <x:v>Geometry</x:v>
      </x:c>
      <x:c r="F27" s="32" t="str"/>
      <x:c r="G27" s="32" t="str">
        <x:v>A0C validate no blocked-volume placement</x:v>
      </x:c>
      <x:c r="H27" s="32" t="str">
        <x:v>Existing multi-zone geometry.</x:v>
      </x:c>
    </x:row>
    <x:row r="28">
      <x:c r="A28" s="32" t="str">
        <x:v>Pack Management</x:v>
      </x:c>
      <x:c r="B28" s="32" t="str">
        <x:v>Truck shape: front bonus</x:v>
      </x:c>
      <x:c r="C28" s="32" t="str">
        <x:v>Implemented</x:v>
      </x:c>
      <x:c r="D28" s="32" t="str">
        <x:v>P0</x:v>
      </x:c>
      <x:c r="E28" s="32" t="str">
        <x:v>Geometry</x:v>
      </x:c>
      <x:c r="F28" s="32" t="str"/>
      <x:c r="G28" s="32" t="str">
        <x:v>A0C validate tall/short zones</x:v>
      </x:c>
      <x:c r="H28" s="32" t="str">
        <x:v>Existing split zones.</x:v>
      </x:c>
    </x:row>
    <x:row r="29">
      <x:c r="A29" s="32" t="str">
        <x:v>Pack Management</x:v>
      </x:c>
      <x:c r="B29" s="32" t="str">
        <x:v>Loading direction / unload order support</x:v>
      </x:c>
      <x:c r="C29" s="32" t="str">
        <x:v>Planned</x:v>
      </x:c>
      <x:c r="D29" s="32" t="str">
        <x:v>P1</x:v>
      </x:c>
      <x:c r="E29" s="32" t="str">
        <x:v>AutoPack A1/B</x:v>
      </x:c>
      <x:c r="F29" s="32" t="str"/>
      <x:c r="G29" s="32" t="str">
        <x:v>Add metadata after solver correctness</x:v>
      </x:c>
      <x:c r="H29" s="32" t="str">
        <x:v>Needed for drop-off-first planning; not yet modelled.</x:v>
      </x:c>
    </x:row>
    <x:row r="30">
      <x:c r="A30" s="32" t="str">
        <x:v>Pack Management</x:v>
      </x:c>
      <x:c r="B30" s="32" t="str">
        <x:v>Pack list/grid, search, filters, sorting</x:v>
      </x:c>
      <x:c r="C30" s="32" t="str">
        <x:v>Implemented</x:v>
      </x:c>
      <x:c r="D30" s="32" t="str">
        <x:v>P2</x:v>
      </x:c>
      <x:c r="E30" s="32" t="str">
        <x:v>Pack Management</x:v>
      </x:c>
      <x:c r="F30" s="32" t="str"/>
      <x:c r="G30" s="32" t="str">
        <x:v>Keep</x:v>
      </x:c>
      <x:c r="H30" s="32" t="str">
        <x:v>Packs screen stable.</x:v>
      </x:c>
    </x:row>
    <x:row r="31">
      <x:c r="A31" s="32" t="str">
        <x:v>Pack Management</x:v>
      </x:c>
      <x:c r="B31" s="32" t="str">
        <x:v>Pack statistics</x:v>
      </x:c>
      <x:c r="C31" s="32" t="str">
        <x:v>Implemented</x:v>
      </x:c>
      <x:c r="D31" s="32" t="str">
        <x:v>P1</x:v>
      </x:c>
      <x:c r="E31" s="32" t="str">
        <x:v>Pack Stats</x:v>
      </x:c>
      <x:c r="F31" s="32" t="str"/>
      <x:c r="G31" s="32" t="str">
        <x:v>Validate units and weight display</x:v>
      </x:c>
      <x:c r="H31" s="32" t="str">
        <x:v>Volume %, weight totals, packed count, CoG.</x:v>
      </x:c>
    </x:row>
    <x:row r="32">
      <x:c r="A32" s="32" t="str">
        <x:v>Folder System</x:v>
      </x:c>
      <x:c r="B32" s="32" t="str">
        <x:v>Folder dropdown and filter</x:v>
      </x:c>
      <x:c r="C32" s="32" t="str">
        <x:v>Implemented</x:v>
      </x:c>
      <x:c r="D32" s="32" t="str">
        <x:v>P2</x:v>
      </x:c>
      <x:c r="E32" s="32" t="str">
        <x:v>Phase 0.7C</x:v>
      </x:c>
      <x:c r="F32" s="32" t="str"/>
      <x:c r="G32" s="32" t="str">
        <x:v>Keep</x:v>
      </x:c>
      <x:c r="H32" s="32" t="str">
        <x:v>Merged and validated.</x:v>
      </x:c>
    </x:row>
    <x:row r="33">
      <x:c r="A33" s="32" t="str">
        <x:v>Folder System</x:v>
      </x:c>
      <x:c r="B33" s="32" t="str">
        <x:v>Create folder</x:v>
      </x:c>
      <x:c r="C33" s="32" t="str">
        <x:v>Implemented</x:v>
      </x:c>
      <x:c r="D33" s="32" t="str">
        <x:v>P2</x:v>
      </x:c>
      <x:c r="E33" s="32" t="str">
        <x:v>Phase 0.7C</x:v>
      </x:c>
      <x:c r="F33" s="32" t="str"/>
      <x:c r="G33" s="32" t="str">
        <x:v>Keep</x:v>
      </x:c>
      <x:c r="H33" s="32" t="str">
        <x:v>Modal flow.</x:v>
      </x:c>
    </x:row>
    <x:row r="34">
      <x:c r="A34" s="32" t="str">
        <x:v>Folder System</x:v>
      </x:c>
      <x:c r="B34" s="32" t="str">
        <x:v>Move pack to folder</x:v>
      </x:c>
      <x:c r="C34" s="32" t="str">
        <x:v>Implemented</x:v>
      </x:c>
      <x:c r="D34" s="32" t="str">
        <x:v>P2</x:v>
      </x:c>
      <x:c r="E34" s="32" t="str">
        <x:v>Phase 0.7C</x:v>
      </x:c>
      <x:c r="F34" s="32" t="str"/>
      <x:c r="G34" s="32" t="str">
        <x:v>Keep</x:v>
      </x:c>
      <x:c r="H34" s="32" t="str">
        <x:v>Pack action menu.</x:v>
      </x:c>
    </x:row>
    <x:row r="35">
      <x:c r="A35" s="32" t="str">
        <x:v>Folder System</x:v>
      </x:c>
      <x:c r="B35" s="32" t="str">
        <x:v>Rename/delete folder</x:v>
      </x:c>
      <x:c r="C35" s="32" t="str">
        <x:v>Implemented</x:v>
      </x:c>
      <x:c r="D35" s="32" t="str">
        <x:v>P2</x:v>
      </x:c>
      <x:c r="E35" s="32" t="str">
        <x:v>Phase 0.7C</x:v>
      </x:c>
      <x:c r="F35" s="32" t="str"/>
      <x:c r="G35" s="32" t="str">
        <x:v>Keep</x:v>
      </x:c>
      <x:c r="H35" s="32" t="str">
        <x:v>Unfiled/all protected.</x:v>
      </x:c>
    </x:row>
    <x:row r="36">
      <x:c r="A36" s="32" t="str">
        <x:v>Folder System</x:v>
      </x:c>
      <x:c r="B36" s="32" t="str">
        <x:v>Folder persistence on reload</x:v>
      </x:c>
      <x:c r="C36" s="32" t="str">
        <x:v>Implemented</x:v>
      </x:c>
      <x:c r="D36" s="32" t="str">
        <x:v>P1</x:v>
      </x:c>
      <x:c r="E36" s="32" t="str">
        <x:v>Phase 0.7C</x:v>
      </x:c>
      <x:c r="F36" s="32" t="str"/>
      <x:c r="G36" s="32" t="str">
        <x:v>Keep</x:v>
      </x:c>
      <x:c r="H36" s="32" t="str">
        <x:v>Storage.saveNow flush.</x:v>
      </x:c>
    </x:row>
    <x:row r="37">
      <x:c r="A37" s="32" t="str">
        <x:v>Folder System</x:v>
      </x:c>
      <x:c r="B37" s="32" t="str">
        <x:v>folderLibrary included in exports</x:v>
      </x:c>
      <x:c r="C37" s="32" t="str">
        <x:v>Implemented</x:v>
      </x:c>
      <x:c r="D37" s="32" t="str">
        <x:v>P1</x:v>
      </x:c>
      <x:c r="E37" s="32" t="str">
        <x:v>Import/Export</x:v>
      </x:c>
      <x:c r="F37" s="32" t="str"/>
      <x:c r="G37" s="32" t="str">
        <x:v>A0C export validation</x:v>
      </x:c>
      <x:c r="H37" s="32" t="str">
        <x:v>Included in App and Workspace exports.</x:v>
      </x:c>
    </x:row>
    <x:row r="38">
      <x:c r="A38" s="32" t="str">
        <x:v>AutoPack</x:v>
      </x:c>
      <x:c r="B38" s="32" t="str">
        <x:v>Single-solution AutoPack engine</x:v>
      </x:c>
      <x:c r="C38" s="32" t="str">
        <x:v>Implemented</x:v>
      </x:c>
      <x:c r="D38" s="32" t="str">
        <x:v>P0</x:v>
      </x:c>
      <x:c r="E38" s="32" t="str">
        <x:v>AutoPack Current</x:v>
      </x:c>
      <x:c r="F38" s="32" t="str"/>
      <x:c r="G38" s="32" t="str">
        <x:v>Improve quality before multi-solution</x:v>
      </x:c>
      <x:c r="H38" s="32" t="str">
        <x:v>Greedy scanner exists.</x:v>
      </x:c>
    </x:row>
    <x:row r="39">
      <x:c r="A39" s="32" t="str">
        <x:v>AutoPack</x:v>
      </x:c>
      <x:c r="B39" s="32" t="str">
        <x:v>Orientation lock respected by AutoPack</x:v>
      </x:c>
      <x:c r="C39" s="32" t="str">
        <x:v>Implemented</x:v>
      </x:c>
      <x:c r="D39" s="32" t="str">
        <x:v>P0</x:v>
      </x:c>
      <x:c r="E39" s="32" t="str">
        <x:v>AUTO-PACK-A0</x:v>
      </x:c>
      <x:c r="F39" s="32" t="str"/>
      <x:c r="G39" s="32" t="str">
        <x:v>A0C stress pass</x:v>
      </x:c>
      <x:c r="H39" s="32" t="str">
        <x:v>Commit e3212a7.</x:v>
      </x:c>
    </x:row>
    <x:row r="40">
      <x:c r="A40" s="32" t="str">
        <x:v>AutoPack</x:v>
      </x:c>
      <x:c r="B40" s="32" t="str">
        <x:v>Orientation lock preserved across flows</x:v>
      </x:c>
      <x:c r="C40" s="32" t="str">
        <x:v>Implemented</x:v>
      </x:c>
      <x:c r="D40" s="32" t="str">
        <x:v>P0</x:v>
      </x:c>
      <x:c r="E40" s="32" t="str">
        <x:v>AUTO-PACK-A0B</x:v>
      </x:c>
      <x:c r="F40" s="32" t="str"/>
      <x:c r="G40" s="32" t="str">
        <x:v>A0C stress pass</x:v>
      </x:c>
      <x:c r="H40" s="32" t="str">
        <x:v>Commit c5683b4.</x:v>
      </x:c>
    </x:row>
    <x:row r="41">
      <x:c r="A41" s="32" t="str">
        <x:v>AutoPack</x:v>
      </x:c>
      <x:c r="B41" s="32" t="str">
        <x:v>Browser edge hardening for orientation lock</x:v>
      </x:c>
      <x:c r="C41" s="32" t="str">
        <x:v>Implemented</x:v>
      </x:c>
      <x:c r="D41" s="32" t="str">
        <x:v>P0</x:v>
      </x:c>
      <x:c r="E41" s="32" t="str">
        <x:v>AUTO-PACK-A0C-pre</x:v>
      </x:c>
      <x:c r="F41" s="32" t="str"/>
      <x:c r="G41" s="32" t="str">
        <x:v>Included in A0C follow-up</x:v>
      </x:c>
      <x:c r="H41" s="32" t="str">
        <x:v>Commit bd4fdd0.</x:v>
      </x:c>
    </x:row>
    <x:row r="42">
      <x:c r="A42" s="32" t="str">
        <x:v>AutoPack</x:v>
      </x:c>
      <x:c r="B42" s="32" t="str">
        <x:v>Full browser stress pass</x:v>
      </x:c>
      <x:c r="C42" s="32" t="str">
        <x:v>Next</x:v>
      </x:c>
      <x:c r="D42" s="32" t="str">
        <x:v>P0</x:v>
      </x:c>
      <x:c r="E42" s="32" t="str">
        <x:v>AUTO-PACK-A0C</x:v>
      </x:c>
      <x:c r="F42" s="32" t="str"/>
      <x:c r="G42" s="32" t="str">
        <x:v>Run broad browser stress prompt</x:v>
      </x:c>
      <x:c r="H42" s="32" t="str">
        <x:v>Units/import/export/staged collision/manual edit.</x:v>
      </x:c>
    </x:row>
    <x:row r="43">
      <x:c r="A43" s="32" t="str">
        <x:v>AutoPack</x:v>
      </x:c>
      <x:c r="B43" s="32" t="str">
        <x:v>Stack/no-stack/max stack fixture tests</x:v>
      </x:c>
      <x:c r="C43" s="32" t="str">
        <x:v>Open</x:v>
      </x:c>
      <x:c r="D43" s="32" t="str">
        <x:v>P0</x:v>
      </x:c>
      <x:c r="E43" s="32" t="str">
        <x:v>AUTO-PACK-A1A</x:v>
      </x:c>
      <x:c r="F43" s="32" t="str"/>
      <x:c r="G43" s="32" t="str">
        <x:v>Add fixture tests before scoring changes</x:v>
      </x:c>
      <x:c r="H43" s="32" t="str">
        <x:v>Correctness foundation.</x:v>
      </x:c>
    </x:row>
    <x:row r="44">
      <x:c r="A44" s="32" t="str">
        <x:v>AutoPack</x:v>
      </x:c>
      <x:c r="B44" s="32" t="str">
        <x:v>Stacking-aware scoring quality</x:v>
      </x:c>
      <x:c r="C44" s="32" t="str">
        <x:v>Open</x:v>
      </x:c>
      <x:c r="D44" s="32" t="str">
        <x:v>P0</x:v>
      </x:c>
      <x:c r="E44" s="32" t="str">
        <x:v>AUTO-PACK-A1B</x:v>
      </x:c>
      <x:c r="F44" s="32" t="str"/>
      <x:c r="G44" s="32" t="str">
        <x:v>Tune scoring after fixtures</x:v>
      </x:c>
      <x:c r="H44" s="32" t="str">
        <x:v>Reduce valid staged leftovers.</x:v>
      </x:c>
    </x:row>
    <x:row r="45">
      <x:c r="A45" s="32" t="str">
        <x:v>AutoPack</x:v>
      </x:c>
      <x:c r="B45" s="32" t="str">
        <x:v>Dynamic multi-solution model</x:v>
      </x:c>
      <x:c r="C45" s="32" t="str">
        <x:v>Planned</x:v>
      </x:c>
      <x:c r="D45" s="32" t="str">
        <x:v>P1</x:v>
      </x:c>
      <x:c r="E45" s="32" t="str">
        <x:v>AUTO-PACK-A2</x:v>
      </x:c>
      <x:c r="F45" s="32" t="str"/>
      <x:c r="G45" s="32" t="str">
        <x:v>Only after single-solution quality</x:v>
      </x:c>
      <x:c r="H45" s="32" t="str">
        <x:v>Support 1–5 solutions, not hard-code 5.</x:v>
      </x:c>
    </x:row>
    <x:row r="46">
      <x:c r="A46" s="32" t="str">
        <x:v>AutoPack</x:v>
      </x:c>
      <x:c r="B46" s="32" t="str">
        <x:v>Delivery/unload order metadata</x:v>
      </x:c>
      <x:c r="C46" s="32" t="str">
        <x:v>Planned</x:v>
      </x:c>
      <x:c r="D46" s="32" t="str">
        <x:v>P1</x:v>
      </x:c>
      <x:c r="E46" s="32" t="str">
        <x:v>AUTO-PACK-A1/B</x:v>
      </x:c>
      <x:c r="F46" s="32" t="str"/>
      <x:c r="G46" s="32" t="str">
        <x:v>Add after A1 fixtures or with A2 strategy model</x:v>
      </x:c>
      <x:c r="H46" s="32" t="str">
        <x:v>Needed for drop-off-first logic.</x:v>
      </x:c>
    </x:row>
    <x:row r="47">
      <x:c r="A47" s="32" t="str">
        <x:v>AutoPack</x:v>
      </x:c>
      <x:c r="B47" s="32" t="str">
        <x:v>Weight-aware / heavy-low strategy</x:v>
      </x:c>
      <x:c r="C47" s="32" t="str">
        <x:v>Planned</x:v>
      </x:c>
      <x:c r="D47" s="32" t="str">
        <x:v>P1</x:v>
      </x:c>
      <x:c r="E47" s="32" t="str">
        <x:v>AUTO-PACK-A2</x:v>
      </x:c>
      <x:c r="F47" s="32" t="str"/>
      <x:c r="G47" s="32" t="str">
        <x:v>After Scale/Weight stats trust</x:v>
      </x:c>
      <x:c r="H47" s="32" t="str">
        <x:v>Strategy variant.</x:v>
      </x:c>
    </x:row>
    <x:row r="48">
      <x:c r="A48" s="32" t="str">
        <x:v>Import/Export</x:v>
      </x:c>
      <x:c r="B48" s="32" t="str">
        <x:v>Export App Backup</x:v>
      </x:c>
      <x:c r="C48" s="32" t="str">
        <x:v>Implemented</x:v>
      </x:c>
      <x:c r="D48" s="32" t="str">
        <x:v>P1</x:v>
      </x:c>
      <x:c r="E48" s="32" t="str">
        <x:v>UI-COPY-EXPORT-IMPORT-1</x:v>
      </x:c>
      <x:c r="F48" s="32" t="str"/>
      <x:c r="G48" s="32" t="str">
        <x:v>A0C export validation</x:v>
      </x:c>
      <x:c r="H48" s="32" t="str">
        <x:v>Local packs/cases/folders/preferences.</x:v>
      </x:c>
    </x:row>
    <x:row r="49">
      <x:c r="A49" s="32" t="str">
        <x:v>Import/Export</x:v>
      </x:c>
      <x:c r="B49" s="32" t="str">
        <x:v>Import App Backup</x:v>
      </x:c>
      <x:c r="C49" s="32" t="str">
        <x:v>Implemented</x:v>
      </x:c>
      <x:c r="D49" s="32" t="str">
        <x:v>P1</x:v>
      </x:c>
      <x:c r="E49" s="32" t="str">
        <x:v>UI-COPY-EXPORT-IMPORT-1</x:v>
      </x:c>
      <x:c r="F49" s="32" t="str"/>
      <x:c r="G49" s="32" t="str">
        <x:v>A0C import validation</x:v>
      </x:c>
      <x:c r="H49" s="32" t="str">
        <x:v>Replaces local app data.</x:v>
      </x:c>
    </x:row>
    <x:row r="50">
      <x:c r="A50" s="32" t="str">
        <x:v>Import/Export</x:v>
      </x:c>
      <x:c r="B50" s="32" t="str">
        <x:v>Workspace Export</x:v>
      </x:c>
      <x:c r="C50" s="32" t="str">
        <x:v>Implemented</x:v>
      </x:c>
      <x:c r="D50" s="32" t="str">
        <x:v>P1</x:v>
      </x:c>
      <x:c r="E50" s="32" t="str">
        <x:v>Phase 0.7A</x:v>
      </x:c>
      <x:c r="F50" s="32" t="str"/>
      <x:c r="G50" s="32" t="str">
        <x:v>A0C workspace export validation</x:v>
      </x:c>
      <x:c r="H50" s="32" t="str">
        <x:v>Owner/Admin, excludes sensitive data.</x:v>
      </x:c>
    </x:row>
    <x:row r="51">
      <x:c r="A51" s="32" t="str">
        <x:v>Import/Export</x:v>
      </x:c>
      <x:c r="B51" s="32" t="str">
        <x:v>Workspace Import UI</x:v>
      </x:c>
      <x:c r="C51" s="32" t="str">
        <x:v>Deferred</x:v>
      </x:c>
      <x:c r="D51" s="32" t="str">
        <x:v>P2</x:v>
      </x:c>
      <x:c r="E51" s="32" t="str">
        <x:v>Future Import</x:v>
      </x:c>
      <x:c r="F51" s="32" t="str"/>
      <x:c r="G51" s="32" t="str">
        <x:v>Do not wire until product rules clear</x:v>
      </x:c>
      <x:c r="H51" s="32" t="str">
        <x:v>Parser exists.</x:v>
      </x:c>
    </x:row>
    <x:row r="52">
      <x:c r="A52" s="32" t="str">
        <x:v>Import/Export</x:v>
      </x:c>
      <x:c r="B52" s="32" t="str">
        <x:v>Export Pack JSON</x:v>
      </x:c>
      <x:c r="C52" s="32" t="str">
        <x:v>Implemented</x:v>
      </x:c>
      <x:c r="D52" s="32" t="str">
        <x:v>P1</x:v>
      </x:c>
      <x:c r="E52" s="32" t="str">
        <x:v>Import/Export</x:v>
      </x:c>
      <x:c r="F52" s="32" t="str"/>
      <x:c r="G52" s="32" t="str">
        <x:v>A0C pack export/import validation</x:v>
      </x:c>
      <x:c r="H52" s="32" t="str">
        <x:v>One pack + cases.</x:v>
      </x:c>
    </x:row>
    <x:row r="53">
      <x:c r="A53" s="32" t="str">
        <x:v>Import/Export</x:v>
      </x:c>
      <x:c r="B53" s="32" t="str">
        <x:v>Import Pack JSON</x:v>
      </x:c>
      <x:c r="C53" s="32" t="str">
        <x:v>Implemented</x:v>
      </x:c>
      <x:c r="D53" s="32" t="str">
        <x:v>P1</x:v>
      </x:c>
      <x:c r="E53" s="32" t="str">
        <x:v>Import/Export</x:v>
      </x:c>
      <x:c r="F53" s="32" t="str"/>
      <x:c r="G53" s="32" t="str">
        <x:v>A0C validation</x:v>
      </x:c>
      <x:c r="H53" s="32" t="str">
        <x:v>Additive.</x:v>
      </x:c>
    </x:row>
    <x:row r="54">
      <x:c r="A54" s="32" t="str">
        <x:v>Import/Export</x:v>
      </x:c>
      <x:c r="B54" s="32" t="str">
        <x:v>Cases CSV/XLSX import</x:v>
      </x:c>
      <x:c r="C54" s="32" t="str">
        <x:v>Implemented</x:v>
      </x:c>
      <x:c r="D54" s="32" t="str">
        <x:v>P1</x:v>
      </x:c>
      <x:c r="E54" s="32" t="str">
        <x:v>Import/Export</x:v>
      </x:c>
      <x:c r="F54" s="32" t="str"/>
      <x:c r="G54" s="32" t="str">
        <x:v>A0C validation</x:v>
      </x:c>
      <x:c r="H54" s="32" t="str">
        <x:v>Adds valid rows, skips invalid/duplicates.</x:v>
      </x:c>
    </x:row>
    <x:row r="55">
      <x:c r="A55" s="32" t="str">
        <x:v>Import/Export</x:v>
      </x:c>
      <x:c r="B55" s="32" t="str">
        <x:v>Download Cases Template</x:v>
      </x:c>
      <x:c r="C55" s="32" t="str">
        <x:v>Implemented</x:v>
      </x:c>
      <x:c r="D55" s="32" t="str">
        <x:v>P2</x:v>
      </x:c>
      <x:c r="E55" s="32" t="str">
        <x:v>Import/Export</x:v>
      </x:c>
      <x:c r="F55" s="32" t="str"/>
      <x:c r="G55" s="32" t="str">
        <x:v>Keep</x:v>
      </x:c>
      <x:c r="H55" s="32" t="str">
        <x:v>CSV template.</x:v>
      </x:c>
    </x:row>
    <x:row r="56">
      <x:c r="A56" s="32" t="str">
        <x:v>Import/Export</x:v>
      </x:c>
      <x:c r="B56" s="32" t="str">
        <x:v>PDF export</x:v>
      </x:c>
      <x:c r="C56" s="32" t="str">
        <x:v>Implemented</x:v>
      </x:c>
      <x:c r="D56" s="32" t="str">
        <x:v>P1</x:v>
      </x:c>
      <x:c r="E56" s="32" t="str">
        <x:v>Reporting</x:v>
      </x:c>
      <x:c r="F56" s="32" t="str"/>
      <x:c r="G56" s="32" t="str">
        <x:v>A0C smoke; later parity fixes</x:v>
      </x:c>
      <x:c r="H56" s="32" t="str">
        <x:v>Codex says perspective/top/side/checklist/page nums already exist.</x:v>
      </x:c>
    </x:row>
    <x:row r="57">
      <x:c r="A57" s="32" t="str">
        <x:v>Import/Export</x:v>
      </x:c>
      <x:c r="B57" s="32" t="str">
        <x:v>PDF weight capacity header</x:v>
      </x:c>
      <x:c r="C57" s="32" t="str">
        <x:v>Planned</x:v>
      </x:c>
      <x:c r="D57" s="32" t="str">
        <x:v>P1</x:v>
      </x:c>
      <x:c r="E57" s="32" t="str">
        <x:v>PDF Parity</x:v>
      </x:c>
      <x:c r="F57" s="32" t="str"/>
      <x:c r="G57" s="32" t="str">
        <x:v>After Scale/Payload model</x:v>
      </x:c>
      <x:c r="H57" s="32" t="str">
        <x:v>Tracked gap.</x:v>
      </x:c>
    </x:row>
    <x:row r="58">
      <x:c r="A58" s="32" t="str">
        <x:v>Import/Export</x:v>
      </x:c>
      <x:c r="B58" s="32" t="str">
        <x:v>PDF grouped case summary/color chips/front view</x:v>
      </x:c>
      <x:c r="C58" s="32" t="str">
        <x:v>Planned</x:v>
      </x:c>
      <x:c r="D58" s="32" t="str">
        <x:v>P2</x:v>
      </x:c>
      <x:c r="E58" s="32" t="str">
        <x:v>PDF Parity</x:v>
      </x:c>
      <x:c r="F58" s="32" t="str"/>
      <x:c r="G58" s="32" t="str">
        <x:v>After solver/Scale</x:v>
      </x:c>
      <x:c r="H58" s="32" t="str">
        <x:v>Improve report quality.</x:v>
      </x:c>
    </x:row>
    <x:row r="59">
      <x:c r="A59" s="32" t="str">
        <x:v>Auth/Session</x:v>
      </x:c>
      <x:c r="B59" s="32" t="str">
        <x:v>Supabase Auth signup/signin</x:v>
      </x:c>
      <x:c r="C59" s="32" t="str">
        <x:v>Implemented</x:v>
      </x:c>
      <x:c r="D59" s="32" t="str">
        <x:v>P0</x:v>
      </x:c>
      <x:c r="E59" s="32" t="str">
        <x:v>P0 Auth</x:v>
      </x:c>
      <x:c r="F59" s="32" t="str"/>
      <x:c r="G59" s="32" t="str">
        <x:v>Keep</x:v>
      </x:c>
      <x:c r="H59" s="32" t="str">
        <x:v>Stable.</x:v>
      </x:c>
    </x:row>
    <x:row r="60">
      <x:c r="A60" s="32" t="str">
        <x:v>Auth/Session</x:v>
      </x:c>
      <x:c r="B60" s="32" t="str">
        <x:v>Auto-org creation on signup</x:v>
      </x:c>
      <x:c r="C60" s="32" t="str">
        <x:v>Verified</x:v>
      </x:c>
      <x:c r="D60" s="32" t="str">
        <x:v>P0</x:v>
      </x:c>
      <x:c r="E60" s="32" t="str">
        <x:v>P0.10</x:v>
      </x:c>
      <x:c r="F60" s="32" t="str"/>
      <x:c r="G60" s="32" t="str">
        <x:v>Keep</x:v>
      </x:c>
      <x:c r="H60" s="32" t="str">
        <x:v>Test5 signup verified.</x:v>
      </x:c>
    </x:row>
    <x:row r="61">
      <x:c r="A61" s="32" t="str">
        <x:v>Auth/Session</x:v>
      </x:c>
      <x:c r="B61" s="32" t="str">
        <x:v>Auth snapshot fallback</x:v>
      </x:c>
      <x:c r="C61" s="32" t="str">
        <x:v>Verified</x:v>
      </x:c>
      <x:c r="D61" s="32" t="str">
        <x:v>P0</x:v>
      </x:c>
      <x:c r="E61" s="32" t="str">
        <x:v>P0.7.2</x:v>
      </x:c>
      <x:c r="F61" s="32" t="str"/>
      <x:c r="G61" s="32" t="str">
        <x:v>Keep</x:v>
      </x:c>
      <x:c r="H61" s="32" t="str">
        <x:v>8s TTL.</x:v>
      </x:c>
    </x:row>
    <x:row r="62">
      <x:c r="A62" s="32" t="str">
        <x:v>Auth/Session</x:v>
      </x:c>
      <x:c r="B62" s="32" t="str">
        <x:v>Cross-tab sign-out</x:v>
      </x:c>
      <x:c r="C62" s="32" t="str">
        <x:v>Verified</x:v>
      </x:c>
      <x:c r="D62" s="32" t="str">
        <x:v>P0</x:v>
      </x:c>
      <x:c r="E62" s="32" t="str">
        <x:v>P0.9</x:v>
      </x:c>
      <x:c r="F62" s="32" t="str"/>
      <x:c r="G62" s="32" t="str">
        <x:v>Keep</x:v>
      </x:c>
      <x:c r="H62" s="32" t="str">
        <x:v>Validated.</x:v>
      </x:c>
    </x:row>
    <x:row r="63">
      <x:c r="A63" s="32" t="str">
        <x:v>Auth/Session</x:v>
      </x:c>
      <x:c r="B63" s="32" t="str">
        <x:v>Separate-profile logout</x:v>
      </x:c>
      <x:c r="C63" s="32" t="str">
        <x:v>Verified</x:v>
      </x:c>
      <x:c r="D63" s="32" t="str">
        <x:v>P0</x:v>
      </x:c>
      <x:c r="E63" s="32" t="str">
        <x:v>P0 Release Gate</x:v>
      </x:c>
      <x:c r="F63" s="32" t="str"/>
      <x:c r="G63" s="32" t="str">
        <x:v>Keep</x:v>
      </x:c>
      <x:c r="H63" s="32" t="str">
        <x:v>Validated.</x:v>
      </x:c>
    </x:row>
    <x:row r="64">
      <x:c r="A64" s="32" t="str">
        <x:v>Auth/Session</x:v>
      </x:c>
      <x:c r="B64" s="32" t="str">
        <x:v>User-scoped local storage</x:v>
      </x:c>
      <x:c r="C64" s="32" t="str">
        <x:v>Verified</x:v>
      </x:c>
      <x:c r="D64" s="32" t="str">
        <x:v>P0</x:v>
      </x:c>
      <x:c r="E64" s="32" t="str">
        <x:v>P0.9</x:v>
      </x:c>
      <x:c r="F64" s="32" t="str"/>
      <x:c r="G64" s="32" t="str">
        <x:v>Optional org-scoped future</x:v>
      </x:c>
      <x:c r="H64" s="32" t="str">
        <x:v>Prevents cross-user leaks.</x:v>
      </x:c>
    </x:row>
    <x:row r="65">
      <x:c r="A65" s="32" t="str">
        <x:v>Workspace</x:v>
      </x:c>
      <x:c r="B65" s="32" t="str">
        <x:v>Create workspace</x:v>
      </x:c>
      <x:c r="C65" s="32" t="str">
        <x:v>Verified</x:v>
      </x:c>
      <x:c r="D65" s="32" t="str">
        <x:v>P0</x:v>
      </x:c>
      <x:c r="E65" s="32" t="str">
        <x:v>Workspace Foundation</x:v>
      </x:c>
      <x:c r="F65" s="32" t="str"/>
      <x:c r="G65" s="32" t="str">
        <x:v>Keep</x:v>
      </x:c>
      <x:c r="H65" s="32" t="str">
        <x:v>Modal flow.</x:v>
      </x:c>
    </x:row>
    <x:row r="66">
      <x:c r="A66" s="32" t="str">
        <x:v>Workspace</x:v>
      </x:c>
      <x:c r="B66" s="32" t="str">
        <x:v>Switch workspace without billing/member/pack leakage</x:v>
      </x:c>
      <x:c r="C66" s="32" t="str">
        <x:v>Verified</x:v>
      </x:c>
      <x:c r="D66" s="32" t="str">
        <x:v>P0</x:v>
      </x:c>
      <x:c r="E66" s="32" t="str">
        <x:v>Workspace Foundation</x:v>
      </x:c>
      <x:c r="F66" s="32" t="str"/>
      <x:c r="G66" s="32" t="str">
        <x:v>Cases view sign-off optional</x:v>
      </x:c>
      <x:c r="H66" s="32" t="str">
        <x:v>Browser proof exists.</x:v>
      </x:c>
    </x:row>
    <x:row r="67">
      <x:c r="A67" s="32" t="str">
        <x:v>Workspace</x:v>
      </x:c>
      <x:c r="B67" s="32" t="str">
        <x:v>Archive workspace</x:v>
      </x:c>
      <x:c r="C67" s="32" t="str">
        <x:v>Verified</x:v>
      </x:c>
      <x:c r="D67" s="32" t="str">
        <x:v>P0</x:v>
      </x:c>
      <x:c r="E67" s="32" t="str">
        <x:v>Workspace Lifecycle</x:v>
      </x:c>
      <x:c r="F67" s="32" t="str"/>
      <x:c r="G67" s="32" t="str">
        <x:v>Keep</x:v>
      </x:c>
      <x:c r="H67" s="32" t="str">
        <x:v>Owner-only, no Stripe mutation.</x:v>
      </x:c>
    </x:row>
    <x:row r="68">
      <x:c r="A68" s="32" t="str">
        <x:v>Workspace</x:v>
      </x:c>
      <x:c r="B68" s="32" t="str">
        <x:v>Restore workspace</x:v>
      </x:c>
      <x:c r="C68" s="32" t="str">
        <x:v>Needs Validation</x:v>
      </x:c>
      <x:c r="D68" s="32" t="str">
        <x:v>P0</x:v>
      </x:c>
      <x:c r="E68" s="32" t="str">
        <x:v>Workspace Lifecycle</x:v>
      </x:c>
      <x:c r="F68" s="32" t="str"/>
      <x:c r="G68" s="32" t="str">
        <x:v>Live billing refresh sign-off</x:v>
      </x:c>
      <x:c r="H68" s="32" t="str">
        <x:v>Implemented; sign-off open.</x:v>
      </x:c>
    </x:row>
    <x:row r="69">
      <x:c r="A69" s="32" t="str">
        <x:v>Workspace</x:v>
      </x:c>
      <x:c r="B69" s="32" t="str">
        <x:v>Transfer ownership</x:v>
      </x:c>
      <x:c r="C69" s="32" t="str">
        <x:v>Needs Validation</x:v>
      </x:c>
      <x:c r="D69" s="32" t="str">
        <x:v>P0</x:v>
      </x:c>
      <x:c r="E69" s="32" t="str">
        <x:v>Workspace Lifecycle</x:v>
      </x:c>
      <x:c r="F69" s="32" t="str"/>
      <x:c r="G69" s="32" t="str">
        <x:v>Define/test billing ownership behavior</x:v>
      </x:c>
      <x:c r="H69" s="32" t="str">
        <x:v>Implemented; billing policy open.</x:v>
      </x:c>
    </x:row>
    <x:row r="70">
      <x:c r="A70" s="32" t="str">
        <x:v>Workspace</x:v>
      </x:c>
      <x:c r="B70" s="32" t="str">
        <x:v>Leave workspace</x:v>
      </x:c>
      <x:c r="C70" s="32" t="str">
        <x:v>Verified</x:v>
      </x:c>
      <x:c r="D70" s="32" t="str">
        <x:v>P0</x:v>
      </x:c>
      <x:c r="E70" s="32" t="str">
        <x:v>Workspace Lifecycle</x:v>
      </x:c>
      <x:c r="F70" s="32" t="str"/>
      <x:c r="G70" s="32" t="str">
        <x:v>Keep</x:v>
      </x:c>
      <x:c r="H70" s="32" t="str">
        <x:v>Non-owner only; billing unchanged.</x:v>
      </x:c>
    </x:row>
    <x:row r="71">
      <x:c r="A71" s="32" t="str">
        <x:v>Workspace</x:v>
      </x:c>
      <x:c r="B71" s="32" t="str">
        <x:v>Permanent delete workspace</x:v>
      </x:c>
      <x:c r="C71" s="32" t="str">
        <x:v>Deferred</x:v>
      </x:c>
      <x:c r="D71" s="32" t="str">
        <x:v>P2</x:v>
      </x:c>
      <x:c r="E71" s="32" t="str">
        <x:v>Workspace Lifecycle</x:v>
      </x:c>
      <x:c r="F71" s="32" t="str"/>
      <x:c r="G71" s="32" t="str">
        <x:v>Defer</x:v>
      </x:c>
      <x:c r="H71" s="32" t="str">
        <x:v>Needs retention/export/ownership rules.</x:v>
      </x:c>
    </x:row>
    <x:row r="72">
      <x:c r="A72" s="32" t="str">
        <x:v>Workspace</x:v>
      </x:c>
      <x:c r="B72" s="32" t="str">
        <x:v>Workspace slug / share-link model</x:v>
      </x:c>
      <x:c r="C72" s="32" t="str">
        <x:v>Deferred</x:v>
      </x:c>
      <x:c r="D72" s="32" t="str">
        <x:v>P2</x:v>
      </x:c>
      <x:c r="E72" s="32" t="str">
        <x:v>Phase S0</x:v>
      </x:c>
      <x:c r="F72" s="32" t="str"/>
      <x:c r="G72" s="32" t="str">
        <x:v>Do not implement yet</x:v>
      </x:c>
      <x:c r="H72" s="32" t="str">
        <x:v>Recommended secure pack share token.</x:v>
      </x:c>
    </x:row>
    <x:row r="73">
      <x:c r="A73" s="32" t="str">
        <x:v>Membership</x:v>
      </x:c>
      <x:c r="B73" s="32" t="str">
        <x:v>Owner/Admin/Member roles</x:v>
      </x:c>
      <x:c r="C73" s="32" t="str">
        <x:v>Implemented</x:v>
      </x:c>
      <x:c r="D73" s="32" t="str">
        <x:v>P0</x:v>
      </x:c>
      <x:c r="E73" s="32" t="str">
        <x:v>Membership</x:v>
      </x:c>
      <x:c r="F73" s="32" t="str"/>
      <x:c r="G73" s="32" t="str">
        <x:v>Keep</x:v>
      </x:c>
      <x:c r="H73" s="32" t="str">
        <x:v>Role model stable.</x:v>
      </x:c>
    </x:row>
    <x:row r="74">
      <x:c r="A74" s="32" t="str">
        <x:v>Membership</x:v>
      </x:c>
      <x:c r="B74" s="32" t="str">
        <x:v>Invite create/resend/copy/accept</x:v>
      </x:c>
      <x:c r="C74" s="32" t="str">
        <x:v>Verified</x:v>
      </x:c>
      <x:c r="D74" s="32" t="str">
        <x:v>P1</x:v>
      </x:c>
      <x:c r="E74" s="32" t="str">
        <x:v>Membership</x:v>
      </x:c>
      <x:c r="F74" s="32" t="str"/>
      <x:c r="G74" s="32" t="str">
        <x:v>Keep</x:v>
      </x:c>
      <x:c r="H74" s="32" t="str">
        <x:v>Staging validated.</x:v>
      </x:c>
    </x:row>
    <x:row r="75">
      <x:c r="A75" s="32" t="str">
        <x:v>Membership</x:v>
      </x:c>
      <x:c r="B75" s="32" t="str">
        <x:v>Invite expiration/revocation</x:v>
      </x:c>
      <x:c r="C75" s="32" t="str">
        <x:v>Verified</x:v>
      </x:c>
      <x:c r="D75" s="32" t="str">
        <x:v>P1</x:v>
      </x:c>
      <x:c r="E75" s="32" t="str">
        <x:v>Membership</x:v>
      </x:c>
      <x:c r="F75" s="32" t="str"/>
      <x:c r="G75" s="32" t="str">
        <x:v>Keep</x:v>
      </x:c>
      <x:c r="H75" s="32" t="str">
        <x:v>Server enforced.</x:v>
      </x:c>
    </x:row>
    <x:row r="76">
      <x:c r="A76" s="32" t="str">
        <x:v>Membership</x:v>
      </x:c>
      <x:c r="B76" s="32" t="str">
        <x:v>Admin restrictions</x:v>
      </x:c>
      <x:c r="C76" s="32" t="str">
        <x:v>Implemented</x:v>
      </x:c>
      <x:c r="D76" s="32" t="str">
        <x:v>P0</x:v>
      </x:c>
      <x:c r="E76" s="32" t="str">
        <x:v>Role Hardening</x:v>
      </x:c>
      <x:c r="F76" s="32" t="str"/>
      <x:c r="G76" s="32" t="str">
        <x:v>Live Admin remove-member sign-off still open</x:v>
      </x:c>
      <x:c r="H76" s="32" t="str">
        <x:v>RLS + Edge guard.</x:v>
      </x:c>
    </x:row>
    <x:row r="77">
      <x:c r="A77" s="32" t="str">
        <x:v>Membership</x:v>
      </x:c>
      <x:c r="B77" s="32" t="str">
        <x:v>Removed-member access loss</x:v>
      </x:c>
      <x:c r="C77" s="32" t="str">
        <x:v>Needs Validation</x:v>
      </x:c>
      <x:c r="D77" s="32" t="str">
        <x:v>P1</x:v>
      </x:c>
      <x:c r="E77" s="32" t="str">
        <x:v>Membership</x:v>
      </x:c>
      <x:c r="F77" s="32" t="str"/>
      <x:c r="G77" s="32" t="str">
        <x:v>Two-tab live sign-off</x:v>
      </x:c>
      <x:c r="H77" s="32" t="str">
        <x:v>Code implemented.</x:v>
      </x:c>
    </x:row>
    <x:row r="78">
      <x:c r="A78" s="32" t="str">
        <x:v>Billing</x:v>
      </x:c>
      <x:c r="B78" s="32" t="str">
        <x:v>Owner-only billing UI/actions</x:v>
      </x:c>
      <x:c r="C78" s="32" t="str">
        <x:v>Verified</x:v>
      </x:c>
      <x:c r="D78" s="32" t="str">
        <x:v>P0</x:v>
      </x:c>
      <x:c r="E78" s="32" t="str">
        <x:v>Billing</x:v>
      </x:c>
      <x:c r="F78" s="32" t="str"/>
      <x:c r="G78" s="32" t="str">
        <x:v>Keep</x:v>
      </x:c>
      <x:c r="H78" s="32" t="str">
        <x:v>Owner money actions.</x:v>
      </x:c>
    </x:row>
    <x:row r="79">
      <x:c r="A79" s="32" t="str">
        <x:v>Billing</x:v>
      </x:c>
      <x:c r="B79" s="32" t="str">
        <x:v>Trial relative display</x:v>
      </x:c>
      <x:c r="C79" s="32" t="str">
        <x:v>Verified</x:v>
      </x:c>
      <x:c r="D79" s="32" t="str">
        <x:v>P0</x:v>
      </x:c>
      <x:c r="E79" s="32" t="str">
        <x:v>Billing</x:v>
      </x:c>
      <x:c r="F79" s="32" t="str"/>
      <x:c r="G79" s="32" t="str">
        <x:v>Keep</x:v>
      </x:c>
      <x:c r="H79" s="32" t="str">
        <x:v>Ends in X days.</x:v>
      </x:c>
    </x:row>
    <x:row r="80">
      <x:c r="A80" s="32" t="str">
        <x:v>Billing</x:v>
      </x:c>
      <x:c r="B80" s="32" t="str">
        <x:v>Trial-expired soft lock</x:v>
      </x:c>
      <x:c r="C80" s="32" t="str">
        <x:v>Verified</x:v>
      </x:c>
      <x:c r="D80" s="32" t="str">
        <x:v>P0</x:v>
      </x:c>
      <x:c r="E80" s="32" t="str">
        <x:v>Billing</x:v>
      </x:c>
      <x:c r="F80" s="32" t="str"/>
      <x:c r="G80" s="32" t="str">
        <x:v>Add screenshots/timestamps if needed</x:v>
      </x:c>
      <x:c r="H80" s="32" t="str">
        <x:v>Sticky latch.</x:v>
      </x:c>
    </x:row>
    <x:row r="81">
      <x:c r="A81" s="32" t="str">
        <x:v>Billing</x:v>
      </x:c>
      <x:c r="B81" s="32" t="str">
        <x:v>Past-due grace window</x:v>
      </x:c>
      <x:c r="C81" s="32" t="str">
        <x:v>Implemented</x:v>
      </x:c>
      <x:c r="D81" s="32" t="str">
        <x:v>P0</x:v>
      </x:c>
      <x:c r="E81" s="32" t="str">
        <x:v>Billing</x:v>
      </x:c>
      <x:c r="F81" s="32" t="str"/>
      <x:c r="G81" s="32" t="str">
        <x:v>Live edge-case sign-off if needed</x:v>
      </x:c>
      <x:c r="H81" s="32" t="str">
        <x:v>Warning + block after grace.</x:v>
      </x:c>
    </x:row>
    <x:row r="82">
      <x:c r="A82" s="32" t="str">
        <x:v>Billing</x:v>
      </x:c>
      <x:c r="B82" s="32" t="str">
        <x:v>Portal Manage fallback</x:v>
      </x:c>
      <x:c r="C82" s="32" t="str">
        <x:v>Needs Validation</x:v>
      </x:c>
      <x:c r="D82" s="32" t="str">
        <x:v>P0</x:v>
      </x:c>
      <x:c r="E82" s="32" t="str">
        <x:v>Billing</x:v>
      </x:c>
      <x:c r="F82" s="32" t="str"/>
      <x:c r="G82" s="32" t="str">
        <x:v>Verify stale/schedule-managed portal sessions</x:v>
      </x:c>
      <x:c r="H82" s="32" t="str">
        <x:v>Code complete.</x:v>
      </x:c>
    </x:row>
    <x:row r="83">
      <x:c r="A83" s="32" t="str">
        <x:v>Billing</x:v>
      </x:c>
      <x:c r="B83" s="32" t="str">
        <x:v>Billing retry reliability</x:v>
      </x:c>
      <x:c r="C83" s="32" t="str">
        <x:v>Verified</x:v>
      </x:c>
      <x:c r="D83" s="32" t="str">
        <x:v>P0</x:v>
      </x:c>
      <x:c r="E83" s="32" t="str">
        <x:v>Billing</x:v>
      </x:c>
      <x:c r="F83" s="32" t="str"/>
      <x:c r="G83" s="32" t="str">
        <x:v>Keep</x:v>
      </x:c>
      <x:c r="H83" s="32" t="str">
        <x:v>Retry/refresh and failed-state poisoning fixed.</x:v>
      </x:c>
    </x:row>
    <x:row r="84">
      <x:c r="A84" s="32" t="str">
        <x:v>Billing</x:v>
      </x:c>
      <x:c r="B84" s="32" t="str">
        <x:v>Workspace limit reached UI/gates</x:v>
      </x:c>
      <x:c r="C84" s="32" t="str">
        <x:v>Verified</x:v>
      </x:c>
      <x:c r="D84" s="32" t="str">
        <x:v>P0</x:v>
      </x:c>
      <x:c r="E84" s="32" t="str">
        <x:v>Billing</x:v>
      </x:c>
      <x:c r="F84" s="32" t="str"/>
      <x:c r="G84" s="32" t="str">
        <x:v>Keep</x:v>
      </x:c>
      <x:c r="H84" s="32" t="str">
        <x:v>Real fixture exists.</x:v>
      </x:c>
    </x:row>
    <x:row r="85">
      <x:c r="A85" s="32" t="str">
        <x:v>Account Deletion</x:v>
      </x:c>
      <x:c r="B85" s="32" t="str">
        <x:v>Delete account last-owner block</x:v>
      </x:c>
      <x:c r="C85" s="32" t="str">
        <x:v>Implemented</x:v>
      </x:c>
      <x:c r="D85" s="32" t="str">
        <x:v>P0</x:v>
      </x:c>
      <x:c r="E85" s="32" t="str">
        <x:v>Account Safety</x:v>
      </x:c>
      <x:c r="F85" s="32" t="str"/>
      <x:c r="G85" s="32" t="str">
        <x:v>Browser validation if not done</x:v>
      </x:c>
      <x:c r="H85" s="32" t="str">
        <x:v>Server block message.</x:v>
      </x:c>
    </x:row>
    <x:row r="86">
      <x:c r="A86" s="32" t="str">
        <x:v>Account Deletion</x:v>
      </x:c>
      <x:c r="B86" s="32" t="str">
        <x:v>30-day deletion request</x:v>
      </x:c>
      <x:c r="C86" s="32" t="str">
        <x:v>Implemented</x:v>
      </x:c>
      <x:c r="D86" s="32" t="str">
        <x:v>P0</x:v>
      </x:c>
      <x:c r="E86" s="32" t="str">
        <x:v>Account Safety</x:v>
      </x:c>
      <x:c r="F86" s="32" t="str"/>
      <x:c r="G86" s="32" t="str">
        <x:v>Keep</x:v>
      </x:c>
      <x:c r="H86" s="32" t="str">
        <x:v>Request state.</x:v>
      </x:c>
    </x:row>
    <x:row r="87">
      <x:c r="A87" s="32" t="str">
        <x:v>Account Deletion</x:v>
      </x:c>
      <x:c r="B87" s="32" t="str">
        <x:v>Cancel deletion support endpoint</x:v>
      </x:c>
      <x:c r="C87" s="32" t="str">
        <x:v>Implemented</x:v>
      </x:c>
      <x:c r="D87" s="32" t="str">
        <x:v>P0</x:v>
      </x:c>
      <x:c r="E87" s="32" t="str">
        <x:v>Account Safety</x:v>
      </x:c>
      <x:c r="F87" s="32" t="str"/>
      <x:c r="G87" s="32" t="str">
        <x:v>Keep</x:v>
      </x:c>
      <x:c r="H87" s="32" t="str">
        <x:v>Support-secret protected.</x:v>
      </x:c>
    </x:row>
    <x:row r="88">
      <x:c r="A88" s="32" t="str">
        <x:v>Account Deletion</x:v>
      </x:c>
      <x:c r="B88" s="32" t="str">
        <x:v>Purge deleted accounts</x:v>
      </x:c>
      <x:c r="C88" s="32" t="str">
        <x:v>Implemented</x:v>
      </x:c>
      <x:c r="D88" s="32" t="str">
        <x:v>P0</x:v>
      </x:c>
      <x:c r="E88" s="32" t="str">
        <x:v>Account Safety</x:v>
      </x:c>
      <x:c r="F88" s="32" t="str"/>
      <x:c r="G88" s="32" t="str">
        <x:v>Manual/scheduler policy open</x:v>
      </x:c>
      <x:c r="H88" s="32" t="str">
        <x:v>Support-invoked MVP.</x:v>
      </x:c>
    </x:row>
    <x:row r="89">
      <x:c r="A89" s="32" t="str">
        <x:v>Account Deletion</x:v>
      </x:c>
      <x:c r="B89" s="32" t="str">
        <x:v>Self-service cancel deletion</x:v>
      </x:c>
      <x:c r="C89" s="32" t="str">
        <x:v>Deferred</x:v>
      </x:c>
      <x:c r="D89" s="32" t="str">
        <x:v>P2</x:v>
      </x:c>
      <x:c r="E89" s="32" t="str">
        <x:v>Account Safety</x:v>
      </x:c>
      <x:c r="F89" s="32" t="str"/>
      <x:c r="G89" s="32" t="str">
        <x:v>Defer</x:v>
      </x:c>
      <x:c r="H89" s="32" t="str">
        <x:v>Requires token/session model.</x:v>
      </x:c>
    </x:row>
    <x:row r="90">
      <x:c r="A90" s="32" t="str">
        <x:v>UI/Theme</x:v>
      </x:c>
      <x:c r="B90" s="32" t="str">
        <x:v>Light/dark theme</x:v>
      </x:c>
      <x:c r="C90" s="32" t="str">
        <x:v>Implemented</x:v>
      </x:c>
      <x:c r="D90" s="32" t="str">
        <x:v>P2</x:v>
      </x:c>
      <x:c r="E90" s="32" t="str">
        <x:v>UI</x:v>
      </x:c>
      <x:c r="F90" s="32" t="str"/>
      <x:c r="G90" s="32" t="str">
        <x:v>Keep</x:v>
      </x:c>
      <x:c r="H90" s="32" t="str">
        <x:v>Theme toggle.</x:v>
      </x:c>
    </x:row>
    <x:row r="91">
      <x:c r="A91" s="32" t="str">
        <x:v>UI/Theme</x:v>
      </x:c>
      <x:c r="B91" s="32" t="str">
        <x:v>Settings UI desktop stabilization</x:v>
      </x:c>
      <x:c r="C91" s="32" t="str">
        <x:v>Implemented</x:v>
      </x:c>
      <x:c r="D91" s="32" t="str">
        <x:v>P1</x:v>
      </x:c>
      <x:c r="E91" s="32" t="str">
        <x:v>UI-STABILIZATION-1/2</x:v>
      </x:c>
      <x:c r="F91" s="32" t="str"/>
      <x:c r="G91" s="32" t="str">
        <x:v>Proceed to mobile polish</x:v>
      </x:c>
      <x:c r="H91" s="32" t="str">
        <x:v>Advanced layout improved.</x:v>
      </x:c>
    </x:row>
    <x:row r="92">
      <x:c r="A92" s="32" t="str">
        <x:v>UI/Theme</x:v>
      </x:c>
      <x:c r="B92" s="32" t="str">
        <x:v>Settings mobile/responsive polish</x:v>
      </x:c>
      <x:c r="C92" s="32" t="str">
        <x:v>Next</x:v>
      </x:c>
      <x:c r="D92" s="32" t="str">
        <x:v>P1</x:v>
      </x:c>
      <x:c r="E92" s="32" t="str">
        <x:v>UI-STABILIZATION-3B</x:v>
      </x:c>
      <x:c r="F92" s="32" t="str"/>
      <x:c r="G92" s="32" t="str">
        <x:v>Run responsive prompt</x:v>
      </x:c>
      <x:c r="H92" s="32" t="str">
        <x:v>Main.css only planned.</x:v>
      </x:c>
    </x:row>
    <x:row r="93">
      <x:c r="A93" s="32" t="str">
        <x:v>UI/Theme</x:v>
      </x:c>
      <x:c r="B93" s="32" t="str">
        <x:v>Resources tab visual consistency</x:v>
      </x:c>
      <x:c r="C93" s="32" t="str">
        <x:v>Open</x:v>
      </x:c>
      <x:c r="D93" s="32" t="str">
        <x:v>P2</x:v>
      </x:c>
      <x:c r="E93" s="32" t="str">
        <x:v>UI Stabilization</x:v>
      </x:c>
      <x:c r="F93" s="32" t="str"/>
      <x:c r="G93" s="32" t="str">
        <x:v>Polish after mobile or together if low risk</x:v>
      </x:c>
      <x:c r="H93" s="32" t="str">
        <x:v>User still saw differences.</x:v>
      </x:c>
    </x:row>
    <x:row r="94">
      <x:c r="A94" s="32" t="str">
        <x:v>UI/Theme</x:v>
      </x:c>
      <x:c r="B94" s="32" t="str">
        <x:v>Inline CSS migration</x:v>
      </x:c>
      <x:c r="C94" s="32" t="str">
        <x:v>Open</x:v>
      </x:c>
      <x:c r="D94" s="32" t="str">
        <x:v>P2</x:v>
      </x:c>
      <x:c r="E94" s="32" t="str">
        <x:v>UI Cleanup</x:v>
      </x:c>
      <x:c r="F94" s="32" t="str"/>
      <x:c r="G94" s="32" t="str">
        <x:v>After mobile and AutoPack A0C</x:v>
      </x:c>
      <x:c r="H94" s="32" t="str">
        <x:v>Do not start now.</x:v>
      </x:c>
    </x:row>
    <x:row r="95">
      <x:c r="A95" s="32" t="str">
        <x:v>Security/Data</x:v>
      </x:c>
      <x:c r="B95" s="32" t="str">
        <x:v>RLS and guardrails</x:v>
      </x:c>
      <x:c r="C95" s="32" t="str">
        <x:v>Verified</x:v>
      </x:c>
      <x:c r="D95" s="32" t="str">
        <x:v>P0</x:v>
      </x:c>
      <x:c r="E95" s="32" t="str">
        <x:v>Security</x:v>
      </x:c>
      <x:c r="F95" s="32" t="str"/>
      <x:c r="G95" s="32" t="str">
        <x:v>Keep</x:v>
      </x:c>
      <x:c r="H95" s="32" t="str">
        <x:v>No wildcard CORS etc.</x:v>
      </x:c>
    </x:row>
    <x:row r="96">
      <x:c r="A96" s="32" t="str">
        <x:v>Security/Data</x:v>
      </x:c>
      <x:c r="B96" s="32" t="str">
        <x:v>Sanitized JSON imports</x:v>
      </x:c>
      <x:c r="C96" s="32" t="str">
        <x:v>Implemented</x:v>
      </x:c>
      <x:c r="D96" s="32" t="str">
        <x:v>P0</x:v>
      </x:c>
      <x:c r="E96" s="32" t="str">
        <x:v>Import Safety</x:v>
      </x:c>
      <x:c r="F96" s="32" t="str"/>
      <x:c r="G96" s="32" t="str">
        <x:v>A0C import stress</x:v>
      </x:c>
      <x:c r="H96" s="32" t="str">
        <x:v>Prototype pollution prevention.</x:v>
      </x:c>
    </x:row>
    <x:row r="97">
      <x:c r="A97" s="32" t="str">
        <x:v>Security/Data</x:v>
      </x:c>
      <x:c r="B97" s="32" t="str">
        <x:v>DB health checks</x:v>
      </x:c>
      <x:c r="C97" s="32" t="str">
        <x:v>Verified</x:v>
      </x:c>
      <x:c r="D97" s="32" t="str">
        <x:v>P0</x:v>
      </x:c>
      <x:c r="E97" s="32" t="str">
        <x:v>P0.6</x:v>
      </x:c>
      <x:c r="F97" s="32" t="str"/>
      <x:c r="G97" s="32" t="str">
        <x:v>Run before release</x:v>
      </x:c>
      <x:c r="H97" s="32" t="str">
        <x:v>Q1-Q6 clean.</x:v>
      </x:c>
    </x:row>
    <x:row r="98">
      <x:c r="A98" s="32" t="str">
        <x:v>Future</x:v>
      </x:c>
      <x:c r="B98" s="32" t="str">
        <x:v>Scale / Payload panel</x:v>
      </x:c>
      <x:c r="C98" s="32" t="str">
        <x:v>Planned</x:v>
      </x:c>
      <x:c r="D98" s="32" t="str">
        <x:v>P1</x:v>
      </x:c>
      <x:c r="E98" s="32" t="str">
        <x:v>Payload/Weight</x:v>
      </x:c>
      <x:c r="F98" s="32" t="str"/>
      <x:c r="G98" s="32" t="str">
        <x:v>After AutoPack A1</x:v>
      </x:c>
      <x:c r="H98" s="32" t="str">
        <x:v>Current/capacity/remaining/excess/%</x:v>
      </x:c>
    </x:row>
    <x:row r="99">
      <x:c r="A99" s="32" t="str">
        <x:v>Future</x:v>
      </x:c>
      <x:c r="B99" s="32" t="str">
        <x:v>Weight View heatmap</x:v>
      </x:c>
      <x:c r="C99" s="32" t="str">
        <x:v>Planned</x:v>
      </x:c>
      <x:c r="D99" s="32" t="str">
        <x:v>P1</x:v>
      </x:c>
      <x:c r="E99" s="32" t="str">
        <x:v>Payload/Weight</x:v>
      </x:c>
      <x:c r="F99" s="32" t="str"/>
      <x:c r="G99" s="32" t="str">
        <x:v>After Scale</x:v>
      </x:c>
      <x:c r="H99" s="32" t="str">
        <x:v>Visual only first.</x:v>
      </x:c>
    </x:row>
    <x:row r="100">
      <x:c r="A100" s="32" t="str">
        <x:v>Future</x:v>
      </x:c>
      <x:c r="B100" s="32" t="str">
        <x:v>Crew View / read-only share link</x:v>
      </x:c>
      <x:c r="C100" s="32" t="str">
        <x:v>Planned</x:v>
      </x:c>
      <x:c r="D100" s="32" t="str">
        <x:v>P2</x:v>
      </x:c>
      <x:c r="E100" s="32" t="str">
        <x:v>Crew View</x:v>
      </x:c>
      <x:c r="F100" s="32" t="str"/>
      <x:c r="G100" s="32" t="str">
        <x:v>After solver/PDF</x:v>
      </x:c>
      <x:c r="H100" s="32" t="str">
        <x:v>Large feature.</x:v>
      </x:c>
    </x:row>
    <x:row r="101">
      <x:c r="A101" s="32" t="str">
        <x:v>Future</x:v>
      </x:c>
      <x:c r="B101" s="32" t="str">
        <x:v>Server-backed Packs/Cases</x:v>
      </x:c>
      <x:c r="C101" s="32" t="str">
        <x:v>Planned</x:v>
      </x:c>
      <x:c r="D101" s="32" t="str">
        <x:v>P1/P2</x:v>
      </x:c>
      <x:c r="E101" s="32" t="str">
        <x:v>Server Data</x:v>
      </x:c>
      <x:c r="F101" s="32" t="str"/>
      <x:c r="G101" s="32" t="str">
        <x:v>After P0 and AutoPack base</x:v>
      </x:c>
      <x:c r="H101" s="32" t="str">
        <x:v>For collaboration and cross-device sync.</x:v>
      </x:c>
    </x:row>
    <x:row r="102">
      <x:c r="A102" s="32" t="str">
        <x:v>Future</x:v>
      </x:c>
      <x:c r="B102" s="32" t="str">
        <x:v>app.js modularization</x:v>
      </x:c>
      <x:c r="C102" s="32" t="str">
        <x:v>Deferred</x:v>
      </x:c>
      <x:c r="D102" s="32" t="str">
        <x:v>P2</x:v>
      </x:c>
      <x:c r="E102" s="32" t="str">
        <x:v>M0</x:v>
      </x:c>
      <x:c r="F102" s="32" t="str"/>
      <x:c r="G102" s="32" t="str">
        <x:v>After UI and AutoPack base</x:v>
      </x:c>
      <x:c r="H102" s="32" t="str">
        <x:v>Do not start before contracts stable.</x:v>
      </x:c>
    </x:row>
    <x:row r="103">
      <x:c r="A103" s="32" t="str">
        <x:v>Future</x:v>
      </x:c>
      <x:c r="B103" s="32" t="str">
        <x:v>Multi-container workflow</x:v>
      </x:c>
      <x:c r="C103" s="32" t="str">
        <x:v>Planned</x:v>
      </x:c>
      <x:c r="D103" s="32" t="str">
        <x:v>P3</x:v>
      </x:c>
      <x:c r="E103" s="32" t="str">
        <x:v>Expansion</x:v>
      </x:c>
      <x:c r="F103" s="32" t="str"/>
      <x:c r="G103" s="32" t="str">
        <x:v>Later</x:v>
      </x:c>
      <x:c r="H103" s="32" t="str">
        <x:v>Across truck/container units.</x:v>
      </x:c>
    </x:row>
    <x:row r="104">
      <x:c r="A104" s="32" t="str">
        <x:v>Future</x:v>
      </x:c>
      <x:c r="B104" s="32" t="str">
        <x:v>Enterprise API access</x:v>
      </x:c>
      <x:c r="C104" s="32" t="str">
        <x:v>Deferred</x:v>
      </x:c>
      <x:c r="D104" s="32" t="str">
        <x:v>P3</x:v>
      </x:c>
      <x:c r="E104" s="32" t="str">
        <x:v>Enterprise</x:v>
      </x:c>
      <x:c r="F104" s="32" t="str"/>
      <x:c r="G104" s="32" t="str">
        <x:v>Later</x:v>
      </x:c>
      <x:c r="H104" s="32" t="str">
        <x:v>API keys, rate limits, SDK.</x:v>
      </x:c>
    </x:row>
  </x:sheetData>
  <x:conditionalFormatting sqref="C2:C104">
    <x:cfRule type="expression" dxfId="0" priority="1">
      <x:formula>OR(C2="Implemented",C2="Verified")</x:formula>
    </x:cfRule>
    <x:cfRule type="expression" dxfId="1" priority="2">
      <x:formula>OR(C2="Open",C2="Next",C2="Partial",C2="Needs Validation")</x:formula>
    </x:cfRule>
    <x:cfRule type="expression" dxfId="2" priority="3">
      <x:formula>C2="Deferred"</x:formula>
    </x:cfRule>
  </x:conditionalFormatting>
  <x:conditionalFormatting sqref="D2:D104">
    <x:cfRule type="expression" dxfId="3" priority="4">
      <x:formula>D2="P0"</x:formula>
    </x:cfRule>
    <x:cfRule type="expression" dxfId="4" priority="5">
      <x:formula>D2="P1"</x:formula>
    </x:cfRule>
  </x:conditionalFormatting>
  <x:dataValidations count="2">
    <x:dataValidation type="list" sqref="C2:C104">
      <x:formula1>"Implemented,Verified,Partial,Needs Validation,Open,Next,Planned,Deferred"</x:formula1>
    </x:dataValidation>
    <x:dataValidation type="list" sqref="D2:D104">
      <x:formula1>"P0,P0/P1,P1,P1/P2,P2,P2/P3,P3"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c9213e873447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12" hidden="0" customWidth="1"/>
    <x:col min="5" max="5" width="24" hidden="0" customWidth="1"/>
    <x:col min="6" max="6" width="16" hidden="0" customWidth="1"/>
    <x:col min="7" max="7" width="45" hidden="0" customWidth="1"/>
    <x:col min="8" max="8" width="58" hidden="0" customWidth="1"/>
  </x:cols>
  <x:sheetData>
    <x:row r="1" ht="26" customHeight="1">
      <x:c r="A1" s="38" t="str">
        <x:v>Category</x:v>
      </x:c>
      <x:c r="B1" s="38" t="str">
        <x:v>Feature</x:v>
      </x:c>
      <x:c r="C1" s="38" t="str">
        <x:v>Status</x:v>
      </x:c>
      <x:c r="D1" s="38" t="str">
        <x:v>Priority</x:v>
      </x:c>
      <x:c r="E1" s="38" t="str">
        <x:v>Phase</x:v>
      </x:c>
      <x:c r="F1" s="38" t="str">
        <x:v>Owner</x:v>
      </x:c>
      <x:c r="G1" s="38" t="str">
        <x:v>Next Action</x:v>
      </x:c>
      <x:c r="H1" s="38" t="str">
        <x:v>Notes</x:v>
      </x:c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2" t="str">
        <x:v>3D Editor</x:v>
      </x:c>
      <x:c r="B2" s="32" t="str">
        <x:v>Interactive Three.js editor: orbit, pan, zoom</x:v>
      </x:c>
      <x:c r="C2" s="32" t="str">
        <x:v>Implemented</x:v>
      </x:c>
      <x:c r="D2" s="32" t="str">
        <x:v>P1</x:v>
      </x:c>
      <x:c r="E2" s="32" t="str">
        <x:v>Editor Core</x:v>
      </x:c>
      <x:c r="F2" s="32" t="str"/>
      <x:c r="G2" s="32" t="str">
        <x:v>Validate during A0C browser pass</x:v>
      </x:c>
      <x:c r="H2" s="32" t="str">
        <x:v>Core editor surface exists.</x:v>
      </x:c>
    </x:row>
    <x:row r="3">
      <x:c r="A3" s="32" t="str">
        <x:v>3D Editor</x:v>
      </x:c>
      <x:c r="B3" s="32" t="str">
        <x:v>Top / Side / Perspective views</x:v>
      </x:c>
      <x:c r="C3" s="32" t="str">
        <x:v>Implemented</x:v>
      </x:c>
      <x:c r="D3" s="32" t="str">
        <x:v>P2</x:v>
      </x:c>
      <x:c r="E3" s="32" t="str">
        <x:v>Editor Core</x:v>
      </x:c>
      <x:c r="F3" s="32" t="str"/>
      <x:c r="G3" s="32" t="str">
        <x:v>Smoke test in browser</x:v>
      </x:c>
      <x:c r="H3" s="32" t="str">
        <x:v>Ortho views exist; front/rear still future for PDF.</x:v>
      </x:c>
    </x:row>
    <x:row r="4">
      <x:c r="A4" s="32" t="str">
        <x:v>3D Editor</x:v>
      </x:c>
      <x:c r="B4" s="32" t="str">
        <x:v>Case selection and multi-select</x:v>
      </x:c>
      <x:c r="C4" s="32" t="str">
        <x:v>Implemented</x:v>
      </x:c>
      <x:c r="D4" s="32" t="str">
        <x:v>P1</x:v>
      </x:c>
      <x:c r="E4" s="32" t="str">
        <x:v>Editor Core</x:v>
      </x:c>
      <x:c r="F4" s="32" t="str"/>
      <x:c r="G4" s="32" t="str">
        <x:v>Stress test selection after AutoPack</x:v>
      </x:c>
      <x:c r="H4" s="32" t="str">
        <x:v>Click, shift-click, Ctrl/Cmd+A.</x:v>
      </x:c>
    </x:row>
    <x:row r="5">
      <x:c r="A5" s="32" t="str">
        <x:v>3D Editor</x:v>
      </x:c>
      <x:c r="B5" s="32" t="str">
        <x:v>Drag / translate cases</x:v>
      </x:c>
      <x:c r="C5" s="32" t="str">
        <x:v>Implemented</x:v>
      </x:c>
      <x:c r="D5" s="32" t="str">
        <x:v>P1</x:v>
      </x:c>
      <x:c r="E5" s="32" t="str">
        <x:v>Editor Core</x:v>
      </x:c>
      <x:c r="F5" s="32" t="str"/>
      <x:c r="G5" s="32" t="str">
        <x:v>Stress test collision and bounds</x:v>
      </x:c>
      <x:c r="H5" s="32" t="str">
        <x:v>Manual movement exists; boundary behavior must be tested.</x:v>
      </x:c>
    </x:row>
    <x:row r="6">
      <x:c r="A6" s="32" t="str">
        <x:v>3D Editor</x:v>
      </x:c>
      <x:c r="B6" s="32" t="str">
        <x:v>Copy / paste / duplicate / delete cases</x:v>
      </x:c>
      <x:c r="C6" s="32" t="str">
        <x:v>Implemented</x:v>
      </x:c>
      <x:c r="D6" s="32" t="str">
        <x:v>P1</x:v>
      </x:c>
      <x:c r="E6" s="32" t="str">
        <x:v>Editor Core</x:v>
      </x:c>
      <x:c r="F6" s="32" t="str"/>
      <x:c r="G6" s="32" t="str">
        <x:v>A0C browser test; keyboard may be headless-sensitive</x:v>
      </x:c>
      <x:c r="H6" s="32" t="str">
        <x:v>A0B preserves orientation metadata.</x:v>
      </x:c>
    </x:row>
    <x:row r="7">
      <x:c r="A7" s="32" t="str">
        <x:v>3D Editor</x:v>
      </x:c>
      <x:c r="B7" s="32" t="str">
        <x:v>Undo / Redo</x:v>
      </x:c>
      <x:c r="C7" s="32" t="str">
        <x:v>Implemented</x:v>
      </x:c>
      <x:c r="D7" s="32" t="str">
        <x:v>P1</x:v>
      </x:c>
      <x:c r="E7" s="32" t="str">
        <x:v>Editor Core</x:v>
      </x:c>
      <x:c r="F7" s="32" t="str"/>
      <x:c r="G7" s="32" t="str">
        <x:v>Stress test after rotate, delete, AutoPack</x:v>
      </x:c>
      <x:c r="H7" s="32" t="str">
        <x:v>StateStore-backed.</x:v>
      </x:c>
    </x:row>
    <x:row r="8">
      <x:c r="A8" s="32" t="str">
        <x:v>3D Editor</x:v>
      </x:c>
      <x:c r="B8" s="32" t="str">
        <x:v>CoG indicator</x:v>
      </x:c>
      <x:c r="C8" s="32" t="str">
        <x:v>Implemented</x:v>
      </x:c>
      <x:c r="D8" s="32" t="str">
        <x:v>P2</x:v>
      </x:c>
      <x:c r="E8" s="32" t="str">
        <x:v>Editor Core</x:v>
      </x:c>
      <x:c r="F8" s="32" t="str"/>
      <x:c r="G8" s="32" t="str">
        <x:v>Defer until solver stable</x:v>
      </x:c>
      <x:c r="H8" s="32" t="str">
        <x:v>Existing cog-service.</x:v>
      </x:c>
    </x:row>
    <x:row r="9">
      <x:c r="A9" s="32" t="str">
        <x:v>3D Editor</x:v>
      </x:c>
      <x:c r="B9" s="32" t="str">
        <x:v>Performance overlay</x:v>
      </x:c>
      <x:c r="C9" s="32" t="str">
        <x:v>Implemented</x:v>
      </x:c>
      <x:c r="D9" s="32" t="str">
        <x:v>P3</x:v>
      </x:c>
      <x:c r="E9" s="32" t="str">
        <x:v>Dev Tooling</x:v>
      </x:c>
      <x:c r="F9" s="32" t="str"/>
      <x:c r="G9" s="32" t="str">
        <x:v>Keep</x:v>
      </x:c>
      <x:c r="H9" s="32" t="str">
        <x:v>P key overlay.</x:v>
      </x:c>
    </x:row>
    <x:row r="10">
      <x:c r="A10" s="32" t="str">
        <x:v>Case Library</x:v>
      </x:c>
      <x:c r="B10" s="32" t="str">
        <x:v>Create / edit cases with dimensions, color, weight, manufacturer, category</x:v>
      </x:c>
      <x:c r="C10" s="32" t="str">
        <x:v>Implemented</x:v>
      </x:c>
      <x:c r="D10" s="32" t="str">
        <x:v>P1</x:v>
      </x:c>
      <x:c r="E10" s="32" t="str">
        <x:v>Case Library</x:v>
      </x:c>
      <x:c r="F10" s="32" t="str"/>
      <x:c r="G10" s="32" t="str">
        <x:v>Regression test after unit fixes</x:v>
      </x:c>
      <x:c r="H10" s="32" t="str">
        <x:v>Core case UI exists.</x:v>
      </x:c>
    </x:row>
    <x:row r="11">
      <x:c r="A11" s="32" t="str">
        <x:v>Case Library</x:v>
      </x:c>
      <x:c r="B11" s="32" t="str">
        <x:v>Case categories and colors</x:v>
      </x:c>
      <x:c r="C11" s="32" t="str">
        <x:v>Implemented</x:v>
      </x:c>
      <x:c r="D11" s="32" t="str">
        <x:v>P2</x:v>
      </x:c>
      <x:c r="E11" s="32" t="str">
        <x:v>Case Library</x:v>
      </x:c>
      <x:c r="F11" s="32" t="str"/>
      <x:c r="G11" s="32" t="str">
        <x:v>Keep</x:v>
      </x:c>
      <x:c r="H11" s="32" t="str">
        <x:v>Manage categories exists.</x:v>
      </x:c>
    </x:row>
    <x:row r="12">
      <x:c r="A12" s="32" t="str">
        <x:v>Case Library</x:v>
      </x:c>
      <x:c r="B12" s="32" t="str">
        <x:v>Case search and sorting</x:v>
      </x:c>
      <x:c r="C12" s="32" t="str">
        <x:v>Implemented</x:v>
      </x:c>
      <x:c r="D12" s="32" t="str">
        <x:v>P2</x:v>
      </x:c>
      <x:c r="E12" s="32" t="str">
        <x:v>Case Library</x:v>
      </x:c>
      <x:c r="F12" s="32" t="str"/>
      <x:c r="G12" s="32" t="str">
        <x:v>Keep</x:v>
      </x:c>
      <x:c r="H12" s="32" t="str">
        <x:v>Search, sort indicators.</x:v>
      </x:c>
    </x:row>
    <x:row r="13">
      <x:c r="A13" s="32" t="str">
        <x:v>Case Library</x:v>
      </x:c>
      <x:c r="B13" s="32" t="str">
        <x:v>Cylinder / drum shape support</x:v>
      </x:c>
      <x:c r="C13" s="32" t="str">
        <x:v>Implemented</x:v>
      </x:c>
      <x:c r="D13" s="32" t="str">
        <x:v>P3</x:v>
      </x:c>
      <x:c r="E13" s="32" t="str">
        <x:v>Case Library</x:v>
      </x:c>
      <x:c r="F13" s="32" t="str"/>
      <x:c r="G13" s="32" t="str">
        <x:v>Validate volume sorting later</x:v>
      </x:c>
      <x:c r="H13" s="32" t="str">
        <x:v>Geometry factory exists; volume calculation still tracked as possible low bug.</x:v>
      </x:c>
    </x:row>
    <x:row r="14">
      <x:c r="A14" s="32" t="str">
        <x:v>Case Library</x:v>
      </x:c>
      <x:c r="B14" s="32" t="str">
        <x:v>Manual orientation lock after rotate/flip</x:v>
      </x:c>
      <x:c r="C14" s="32" t="str">
        <x:v>Implemented</x:v>
      </x:c>
      <x:c r="D14" s="32" t="str">
        <x:v>P0</x:v>
      </x:c>
      <x:c r="E14" s="32" t="str">
        <x:v>AutoPack A0/A0B</x:v>
      </x:c>
      <x:c r="F14" s="32" t="str"/>
      <x:c r="G14" s="32" t="str">
        <x:v>A0C browser stress</x:v>
      </x:c>
      <x:c r="H14" s="32" t="str">
        <x:v>A0 + A0B committed; metadata preserved.</x:v>
      </x:c>
    </x:row>
    <x:row r="15">
      <x:c r="A15" s="32" t="str">
        <x:v>Case Library</x:v>
      </x:c>
      <x:c r="B15" s="32" t="str">
        <x:v>Case Browser Category tab</x:v>
      </x:c>
      <x:c r="C15" s="32" t="str">
        <x:v>Implemented</x:v>
      </x:c>
      <x:c r="D15" s="32" t="str">
        <x:v>P2</x:v>
      </x:c>
      <x:c r="E15" s="32" t="str">
        <x:v>Editor Case Browser</x:v>
      </x:c>
      <x:c r="F15" s="32" t="str"/>
      <x:c r="G15" s="32" t="str">
        <x:v>Keep</x:v>
      </x:c>
      <x:c r="H15" s="32" t="str">
        <x:v>Exists.</x:v>
      </x:c>
    </x:row>
    <x:row r="16">
      <x:c r="A16" s="32" t="str">
        <x:v>Case Library</x:v>
      </x:c>
      <x:c r="B16" s="32" t="str">
        <x:v>Case Browser Manufacturer tab</x:v>
      </x:c>
      <x:c r="C16" s="32" t="str">
        <x:v>Implemented</x:v>
      </x:c>
      <x:c r="D16" s="32" t="str">
        <x:v>P2</x:v>
      </x:c>
      <x:c r="E16" s="32" t="str">
        <x:v>Editor Case Browser</x:v>
      </x:c>
      <x:c r="F16" s="32" t="str"/>
      <x:c r="G16" s="32" t="str">
        <x:v>Validate in browser</x:v>
      </x:c>
      <x:c r="H16" s="32" t="str">
        <x:v>Codex says exists in current code.</x:v>
      </x:c>
    </x:row>
    <x:row r="17">
      <x:c r="A17" s="32" t="str">
        <x:v>Pack Management</x:v>
      </x:c>
      <x:c r="B17" s="32" t="str">
        <x:v>Create / edit packs</x:v>
      </x:c>
      <x:c r="C17" s="32" t="str">
        <x:v>Implemented</x:v>
      </x:c>
      <x:c r="D17" s="32" t="str">
        <x:v>P1</x:v>
      </x:c>
      <x:c r="E17" s="32" t="str">
        <x:v>Pack Management</x:v>
      </x:c>
      <x:c r="F17" s="32" t="str"/>
      <x:c r="G17" s="32" t="str">
        <x:v>Keep</x:v>
      </x:c>
      <x:c r="H17" s="32" t="str">
        <x:v>Title/client/project/truck dims.</x:v>
      </x:c>
    </x:row>
    <x:row r="18">
      <x:c r="A18" s="32" t="str">
        <x:v>Pack Management</x:v>
      </x:c>
      <x:c r="B18" s="32" t="str">
        <x:v>Truck shape: rectangle</x:v>
      </x:c>
      <x:c r="C18" s="32" t="str">
        <x:v>Implemented</x:v>
      </x:c>
      <x:c r="D18" s="32" t="str">
        <x:v>P0</x:v>
      </x:c>
      <x:c r="E18" s="32" t="str">
        <x:v>Geometry</x:v>
      </x:c>
      <x:c r="F18" s="32" t="str"/>
      <x:c r="G18" s="32" t="str">
        <x:v>A0C validate</x:v>
      </x:c>
      <x:c r="H18" s="32" t="str">
        <x:v>Standard container.</x:v>
      </x:c>
    </x:row>
    <x:row r="19">
      <x:c r="A19" s="32" t="str">
        <x:v>Pack Management</x:v>
      </x:c>
      <x:c r="B19" s="32" t="str">
        <x:v>Truck shape: wheel wells</x:v>
      </x:c>
      <x:c r="C19" s="32" t="str">
        <x:v>Implemented</x:v>
      </x:c>
      <x:c r="D19" s="32" t="str">
        <x:v>P0</x:v>
      </x:c>
      <x:c r="E19" s="32" t="str">
        <x:v>Geometry</x:v>
      </x:c>
      <x:c r="F19" s="32" t="str"/>
      <x:c r="G19" s="32" t="str">
        <x:v>A0C validate no blocked-volume placement</x:v>
      </x:c>
      <x:c r="H19" s="32" t="str">
        <x:v>Existing multi-zone geometry.</x:v>
      </x:c>
    </x:row>
    <x:row r="20">
      <x:c r="A20" s="32" t="str">
        <x:v>Pack Management</x:v>
      </x:c>
      <x:c r="B20" s="32" t="str">
        <x:v>Truck shape: front bonus</x:v>
      </x:c>
      <x:c r="C20" s="32" t="str">
        <x:v>Implemented</x:v>
      </x:c>
      <x:c r="D20" s="32" t="str">
        <x:v>P0</x:v>
      </x:c>
      <x:c r="E20" s="32" t="str">
        <x:v>Geometry</x:v>
      </x:c>
      <x:c r="F20" s="32" t="str"/>
      <x:c r="G20" s="32" t="str">
        <x:v>A0C validate tall/short zones</x:v>
      </x:c>
      <x:c r="H20" s="32" t="str">
        <x:v>Existing split zones.</x:v>
      </x:c>
    </x:row>
    <x:row r="21">
      <x:c r="A21" s="32" t="str">
        <x:v>Pack Management</x:v>
      </x:c>
      <x:c r="B21" s="32" t="str">
        <x:v>Pack list/grid, search, filters, sorting</x:v>
      </x:c>
      <x:c r="C21" s="32" t="str">
        <x:v>Implemented</x:v>
      </x:c>
      <x:c r="D21" s="32" t="str">
        <x:v>P2</x:v>
      </x:c>
      <x:c r="E21" s="32" t="str">
        <x:v>Pack Management</x:v>
      </x:c>
      <x:c r="F21" s="32" t="str"/>
      <x:c r="G21" s="32" t="str">
        <x:v>Keep</x:v>
      </x:c>
      <x:c r="H21" s="32" t="str">
        <x:v>Packs screen stable.</x:v>
      </x:c>
    </x:row>
    <x:row r="22">
      <x:c r="A22" s="32" t="str">
        <x:v>Pack Management</x:v>
      </x:c>
      <x:c r="B22" s="32" t="str">
        <x:v>Pack statistics</x:v>
      </x:c>
      <x:c r="C22" s="32" t="str">
        <x:v>Implemented</x:v>
      </x:c>
      <x:c r="D22" s="32" t="str">
        <x:v>P1</x:v>
      </x:c>
      <x:c r="E22" s="32" t="str">
        <x:v>Pack Stats</x:v>
      </x:c>
      <x:c r="F22" s="32" t="str"/>
      <x:c r="G22" s="32" t="str">
        <x:v>Validate units and weight display</x:v>
      </x:c>
      <x:c r="H22" s="32" t="str">
        <x:v>Volume %, weight totals, packed count, CoG.</x:v>
      </x:c>
    </x:row>
    <x:row r="23">
      <x:c r="A23" s="32" t="str">
        <x:v>Folder System</x:v>
      </x:c>
      <x:c r="B23" s="32" t="str">
        <x:v>Folder dropdown and filter</x:v>
      </x:c>
      <x:c r="C23" s="32" t="str">
        <x:v>Implemented</x:v>
      </x:c>
      <x:c r="D23" s="32" t="str">
        <x:v>P2</x:v>
      </x:c>
      <x:c r="E23" s="32" t="str">
        <x:v>Phase 0.7C</x:v>
      </x:c>
      <x:c r="F23" s="32" t="str"/>
      <x:c r="G23" s="32" t="str">
        <x:v>Keep</x:v>
      </x:c>
      <x:c r="H23" s="32" t="str">
        <x:v>Merged and validated.</x:v>
      </x:c>
    </x:row>
    <x:row r="24">
      <x:c r="A24" s="32" t="str">
        <x:v>Folder System</x:v>
      </x:c>
      <x:c r="B24" s="32" t="str">
        <x:v>Create folder</x:v>
      </x:c>
      <x:c r="C24" s="32" t="str">
        <x:v>Implemented</x:v>
      </x:c>
      <x:c r="D24" s="32" t="str">
        <x:v>P2</x:v>
      </x:c>
      <x:c r="E24" s="32" t="str">
        <x:v>Phase 0.7C</x:v>
      </x:c>
      <x:c r="F24" s="32" t="str"/>
      <x:c r="G24" s="32" t="str">
        <x:v>Keep</x:v>
      </x:c>
      <x:c r="H24" s="32" t="str">
        <x:v>Modal flow.</x:v>
      </x:c>
    </x:row>
    <x:row r="25">
      <x:c r="A25" s="32" t="str">
        <x:v>Folder System</x:v>
      </x:c>
      <x:c r="B25" s="32" t="str">
        <x:v>Move pack to folder</x:v>
      </x:c>
      <x:c r="C25" s="32" t="str">
        <x:v>Implemented</x:v>
      </x:c>
      <x:c r="D25" s="32" t="str">
        <x:v>P2</x:v>
      </x:c>
      <x:c r="E25" s="32" t="str">
        <x:v>Phase 0.7C</x:v>
      </x:c>
      <x:c r="F25" s="32" t="str"/>
      <x:c r="G25" s="32" t="str">
        <x:v>Keep</x:v>
      </x:c>
      <x:c r="H25" s="32" t="str">
        <x:v>Pack action menu.</x:v>
      </x:c>
    </x:row>
    <x:row r="26">
      <x:c r="A26" s="32" t="str">
        <x:v>Folder System</x:v>
      </x:c>
      <x:c r="B26" s="32" t="str">
        <x:v>Rename/delete folder</x:v>
      </x:c>
      <x:c r="C26" s="32" t="str">
        <x:v>Implemented</x:v>
      </x:c>
      <x:c r="D26" s="32" t="str">
        <x:v>P2</x:v>
      </x:c>
      <x:c r="E26" s="32" t="str">
        <x:v>Phase 0.7C</x:v>
      </x:c>
      <x:c r="F26" s="32" t="str"/>
      <x:c r="G26" s="32" t="str">
        <x:v>Keep</x:v>
      </x:c>
      <x:c r="H26" s="32" t="str">
        <x:v>Unfiled/all protected.</x:v>
      </x:c>
    </x:row>
    <x:row r="27">
      <x:c r="A27" s="32" t="str">
        <x:v>Folder System</x:v>
      </x:c>
      <x:c r="B27" s="32" t="str">
        <x:v>Folder persistence on reload</x:v>
      </x:c>
      <x:c r="C27" s="32" t="str">
        <x:v>Implemented</x:v>
      </x:c>
      <x:c r="D27" s="32" t="str">
        <x:v>P1</x:v>
      </x:c>
      <x:c r="E27" s="32" t="str">
        <x:v>Phase 0.7C</x:v>
      </x:c>
      <x:c r="F27" s="32" t="str"/>
      <x:c r="G27" s="32" t="str">
        <x:v>Keep</x:v>
      </x:c>
      <x:c r="H27" s="32" t="str">
        <x:v>Storage.saveNow flush.</x:v>
      </x:c>
    </x:row>
    <x:row r="28">
      <x:c r="A28" s="32" t="str">
        <x:v>Folder System</x:v>
      </x:c>
      <x:c r="B28" s="32" t="str">
        <x:v>folderLibrary included in exports</x:v>
      </x:c>
      <x:c r="C28" s="32" t="str">
        <x:v>Implemented</x:v>
      </x:c>
      <x:c r="D28" s="32" t="str">
        <x:v>P1</x:v>
      </x:c>
      <x:c r="E28" s="32" t="str">
        <x:v>Import/Export</x:v>
      </x:c>
      <x:c r="F28" s="32" t="str"/>
      <x:c r="G28" s="32" t="str">
        <x:v>A0C export validation</x:v>
      </x:c>
      <x:c r="H28" s="32" t="str">
        <x:v>Included in App and Workspace exports.</x:v>
      </x:c>
    </x:row>
    <x:row r="29">
      <x:c r="A29" s="32" t="str">
        <x:v>AutoPack</x:v>
      </x:c>
      <x:c r="B29" s="32" t="str">
        <x:v>Single-solution AutoPack engine</x:v>
      </x:c>
      <x:c r="C29" s="32" t="str">
        <x:v>Implemented</x:v>
      </x:c>
      <x:c r="D29" s="32" t="str">
        <x:v>P0</x:v>
      </x:c>
      <x:c r="E29" s="32" t="str">
        <x:v>AutoPack Current</x:v>
      </x:c>
      <x:c r="F29" s="32" t="str"/>
      <x:c r="G29" s="32" t="str">
        <x:v>Improve quality before multi-solution</x:v>
      </x:c>
      <x:c r="H29" s="32" t="str">
        <x:v>Greedy scanner exists.</x:v>
      </x:c>
    </x:row>
    <x:row r="30">
      <x:c r="A30" s="32" t="str">
        <x:v>AutoPack</x:v>
      </x:c>
      <x:c r="B30" s="32" t="str">
        <x:v>Orientation lock respected by AutoPack</x:v>
      </x:c>
      <x:c r="C30" s="32" t="str">
        <x:v>Implemented</x:v>
      </x:c>
      <x:c r="D30" s="32" t="str">
        <x:v>P0</x:v>
      </x:c>
      <x:c r="E30" s="32" t="str">
        <x:v>AUTO-PACK-A0</x:v>
      </x:c>
      <x:c r="F30" s="32" t="str"/>
      <x:c r="G30" s="32" t="str">
        <x:v>A0C stress pass</x:v>
      </x:c>
      <x:c r="H30" s="32" t="str">
        <x:v>Commit e3212a7.</x:v>
      </x:c>
    </x:row>
    <x:row r="31">
      <x:c r="A31" s="32" t="str">
        <x:v>AutoPack</x:v>
      </x:c>
      <x:c r="B31" s="32" t="str">
        <x:v>Orientation lock preserved across flows</x:v>
      </x:c>
      <x:c r="C31" s="32" t="str">
        <x:v>Implemented</x:v>
      </x:c>
      <x:c r="D31" s="32" t="str">
        <x:v>P0</x:v>
      </x:c>
      <x:c r="E31" s="32" t="str">
        <x:v>AUTO-PACK-A0B</x:v>
      </x:c>
      <x:c r="F31" s="32" t="str"/>
      <x:c r="G31" s="32" t="str">
        <x:v>A0C stress pass</x:v>
      </x:c>
      <x:c r="H31" s="32" t="str">
        <x:v>Commit c5683b4.</x:v>
      </x:c>
    </x:row>
    <x:row r="32">
      <x:c r="A32" s="32" t="str">
        <x:v>AutoPack</x:v>
      </x:c>
      <x:c r="B32" s="32" t="str">
        <x:v>Browser edge hardening for orientation lock</x:v>
      </x:c>
      <x:c r="C32" s="32" t="str">
        <x:v>Implemented</x:v>
      </x:c>
      <x:c r="D32" s="32" t="str">
        <x:v>P0</x:v>
      </x:c>
      <x:c r="E32" s="32" t="str">
        <x:v>AUTO-PACK-A0C-pre</x:v>
      </x:c>
      <x:c r="F32" s="32" t="str"/>
      <x:c r="G32" s="32" t="str">
        <x:v>Included in A0C follow-up</x:v>
      </x:c>
      <x:c r="H32" s="32" t="str">
        <x:v>Commit bd4fdd0.</x:v>
      </x:c>
    </x:row>
    <x:row r="33">
      <x:c r="A33" s="32" t="str">
        <x:v>Import/Export</x:v>
      </x:c>
      <x:c r="B33" s="32" t="str">
        <x:v>Export App Backup</x:v>
      </x:c>
      <x:c r="C33" s="32" t="str">
        <x:v>Implemented</x:v>
      </x:c>
      <x:c r="D33" s="32" t="str">
        <x:v>P1</x:v>
      </x:c>
      <x:c r="E33" s="32" t="str">
        <x:v>UI-COPY-EXPORT-IMPORT-1</x:v>
      </x:c>
      <x:c r="F33" s="32" t="str"/>
      <x:c r="G33" s="32" t="str">
        <x:v>A0C export validation</x:v>
      </x:c>
      <x:c r="H33" s="32" t="str">
        <x:v>Local packs/cases/folders/preferences.</x:v>
      </x:c>
    </x:row>
    <x:row r="34">
      <x:c r="A34" s="32" t="str">
        <x:v>Import/Export</x:v>
      </x:c>
      <x:c r="B34" s="32" t="str">
        <x:v>Import App Backup</x:v>
      </x:c>
      <x:c r="C34" s="32" t="str">
        <x:v>Implemented</x:v>
      </x:c>
      <x:c r="D34" s="32" t="str">
        <x:v>P1</x:v>
      </x:c>
      <x:c r="E34" s="32" t="str">
        <x:v>UI-COPY-EXPORT-IMPORT-1</x:v>
      </x:c>
      <x:c r="F34" s="32" t="str"/>
      <x:c r="G34" s="32" t="str">
        <x:v>A0C import validation</x:v>
      </x:c>
      <x:c r="H34" s="32" t="str">
        <x:v>Replaces local app data.</x:v>
      </x:c>
    </x:row>
    <x:row r="35">
      <x:c r="A35" s="32" t="str">
        <x:v>Import/Export</x:v>
      </x:c>
      <x:c r="B35" s="32" t="str">
        <x:v>Workspace Export</x:v>
      </x:c>
      <x:c r="C35" s="32" t="str">
        <x:v>Implemented</x:v>
      </x:c>
      <x:c r="D35" s="32" t="str">
        <x:v>P1</x:v>
      </x:c>
      <x:c r="E35" s="32" t="str">
        <x:v>Phase 0.7A</x:v>
      </x:c>
      <x:c r="F35" s="32" t="str"/>
      <x:c r="G35" s="32" t="str">
        <x:v>A0C workspace export validation</x:v>
      </x:c>
      <x:c r="H35" s="32" t="str">
        <x:v>Owner/Admin, excludes sensitive data.</x:v>
      </x:c>
    </x:row>
    <x:row r="36">
      <x:c r="A36" s="32" t="str">
        <x:v>Import/Export</x:v>
      </x:c>
      <x:c r="B36" s="32" t="str">
        <x:v>Export Pack JSON</x:v>
      </x:c>
      <x:c r="C36" s="32" t="str">
        <x:v>Implemented</x:v>
      </x:c>
      <x:c r="D36" s="32" t="str">
        <x:v>P1</x:v>
      </x:c>
      <x:c r="E36" s="32" t="str">
        <x:v>Import/Export</x:v>
      </x:c>
      <x:c r="F36" s="32" t="str"/>
      <x:c r="G36" s="32" t="str">
        <x:v>A0C pack export/import validation</x:v>
      </x:c>
      <x:c r="H36" s="32" t="str">
        <x:v>One pack + cases.</x:v>
      </x:c>
    </x:row>
    <x:row r="37">
      <x:c r="A37" s="32" t="str">
        <x:v>Import/Export</x:v>
      </x:c>
      <x:c r="B37" s="32" t="str">
        <x:v>Import Pack JSON</x:v>
      </x:c>
      <x:c r="C37" s="32" t="str">
        <x:v>Implemented</x:v>
      </x:c>
      <x:c r="D37" s="32" t="str">
        <x:v>P1</x:v>
      </x:c>
      <x:c r="E37" s="32" t="str">
        <x:v>Import/Export</x:v>
      </x:c>
      <x:c r="F37" s="32" t="str"/>
      <x:c r="G37" s="32" t="str">
        <x:v>A0C validation</x:v>
      </x:c>
      <x:c r="H37" s="32" t="str">
        <x:v>Additive.</x:v>
      </x:c>
    </x:row>
    <x:row r="38">
      <x:c r="A38" s="32" t="str">
        <x:v>Import/Export</x:v>
      </x:c>
      <x:c r="B38" s="32" t="str">
        <x:v>Cases CSV/XLSX import</x:v>
      </x:c>
      <x:c r="C38" s="32" t="str">
        <x:v>Implemented</x:v>
      </x:c>
      <x:c r="D38" s="32" t="str">
        <x:v>P1</x:v>
      </x:c>
      <x:c r="E38" s="32" t="str">
        <x:v>Import/Export</x:v>
      </x:c>
      <x:c r="F38" s="32" t="str"/>
      <x:c r="G38" s="32" t="str">
        <x:v>A0C validation</x:v>
      </x:c>
      <x:c r="H38" s="32" t="str">
        <x:v>Adds valid rows, skips invalid/duplicates.</x:v>
      </x:c>
    </x:row>
    <x:row r="39">
      <x:c r="A39" s="32" t="str">
        <x:v>Import/Export</x:v>
      </x:c>
      <x:c r="B39" s="32" t="str">
        <x:v>Download Cases Template</x:v>
      </x:c>
      <x:c r="C39" s="32" t="str">
        <x:v>Implemented</x:v>
      </x:c>
      <x:c r="D39" s="32" t="str">
        <x:v>P2</x:v>
      </x:c>
      <x:c r="E39" s="32" t="str">
        <x:v>Import/Export</x:v>
      </x:c>
      <x:c r="F39" s="32" t="str"/>
      <x:c r="G39" s="32" t="str">
        <x:v>Keep</x:v>
      </x:c>
      <x:c r="H39" s="32" t="str">
        <x:v>CSV template.</x:v>
      </x:c>
    </x:row>
    <x:row r="40">
      <x:c r="A40" s="32" t="str">
        <x:v>Import/Export</x:v>
      </x:c>
      <x:c r="B40" s="32" t="str">
        <x:v>PDF export</x:v>
      </x:c>
      <x:c r="C40" s="32" t="str">
        <x:v>Implemented</x:v>
      </x:c>
      <x:c r="D40" s="32" t="str">
        <x:v>P1</x:v>
      </x:c>
      <x:c r="E40" s="32" t="str">
        <x:v>Reporting</x:v>
      </x:c>
      <x:c r="F40" s="32" t="str"/>
      <x:c r="G40" s="32" t="str">
        <x:v>A0C smoke; later parity fixes</x:v>
      </x:c>
      <x:c r="H40" s="32" t="str">
        <x:v>Codex says perspective/top/side/checklist/page nums already exist.</x:v>
      </x:c>
    </x:row>
    <x:row r="41">
      <x:c r="A41" s="32" t="str">
        <x:v>Auth/Session</x:v>
      </x:c>
      <x:c r="B41" s="32" t="str">
        <x:v>Supabase Auth signup/signin</x:v>
      </x:c>
      <x:c r="C41" s="32" t="str">
        <x:v>Implemented</x:v>
      </x:c>
      <x:c r="D41" s="32" t="str">
        <x:v>P0</x:v>
      </x:c>
      <x:c r="E41" s="32" t="str">
        <x:v>P0 Auth</x:v>
      </x:c>
      <x:c r="F41" s="32" t="str"/>
      <x:c r="G41" s="32" t="str">
        <x:v>Keep</x:v>
      </x:c>
      <x:c r="H41" s="32" t="str">
        <x:v>Stable.</x:v>
      </x:c>
    </x:row>
    <x:row r="42">
      <x:c r="A42" s="32" t="str">
        <x:v>Auth/Session</x:v>
      </x:c>
      <x:c r="B42" s="32" t="str">
        <x:v>Auto-org creation on signup</x:v>
      </x:c>
      <x:c r="C42" s="32" t="str">
        <x:v>Verified</x:v>
      </x:c>
      <x:c r="D42" s="32" t="str">
        <x:v>P0</x:v>
      </x:c>
      <x:c r="E42" s="32" t="str">
        <x:v>P0.10</x:v>
      </x:c>
      <x:c r="F42" s="32" t="str"/>
      <x:c r="G42" s="32" t="str">
        <x:v>Keep</x:v>
      </x:c>
      <x:c r="H42" s="32" t="str">
        <x:v>Test5 signup verified.</x:v>
      </x:c>
    </x:row>
    <x:row r="43">
      <x:c r="A43" s="32" t="str">
        <x:v>Auth/Session</x:v>
      </x:c>
      <x:c r="B43" s="32" t="str">
        <x:v>Auth snapshot fallback</x:v>
      </x:c>
      <x:c r="C43" s="32" t="str">
        <x:v>Verified</x:v>
      </x:c>
      <x:c r="D43" s="32" t="str">
        <x:v>P0</x:v>
      </x:c>
      <x:c r="E43" s="32" t="str">
        <x:v>P0.7.2</x:v>
      </x:c>
      <x:c r="F43" s="32" t="str"/>
      <x:c r="G43" s="32" t="str">
        <x:v>Keep</x:v>
      </x:c>
      <x:c r="H43" s="32" t="str">
        <x:v>8s TTL.</x:v>
      </x:c>
    </x:row>
    <x:row r="44">
      <x:c r="A44" s="32" t="str">
        <x:v>Auth/Session</x:v>
      </x:c>
      <x:c r="B44" s="32" t="str">
        <x:v>Cross-tab sign-out</x:v>
      </x:c>
      <x:c r="C44" s="32" t="str">
        <x:v>Verified</x:v>
      </x:c>
      <x:c r="D44" s="32" t="str">
        <x:v>P0</x:v>
      </x:c>
      <x:c r="E44" s="32" t="str">
        <x:v>P0.9</x:v>
      </x:c>
      <x:c r="F44" s="32" t="str"/>
      <x:c r="G44" s="32" t="str">
        <x:v>Keep</x:v>
      </x:c>
      <x:c r="H44" s="32" t="str">
        <x:v>Validated.</x:v>
      </x:c>
    </x:row>
    <x:row r="45">
      <x:c r="A45" s="32" t="str">
        <x:v>Auth/Session</x:v>
      </x:c>
      <x:c r="B45" s="32" t="str">
        <x:v>Separate-profile logout</x:v>
      </x:c>
      <x:c r="C45" s="32" t="str">
        <x:v>Verified</x:v>
      </x:c>
      <x:c r="D45" s="32" t="str">
        <x:v>P0</x:v>
      </x:c>
      <x:c r="E45" s="32" t="str">
        <x:v>P0 Release Gate</x:v>
      </x:c>
      <x:c r="F45" s="32" t="str"/>
      <x:c r="G45" s="32" t="str">
        <x:v>Keep</x:v>
      </x:c>
      <x:c r="H45" s="32" t="str">
        <x:v>Validated.</x:v>
      </x:c>
    </x:row>
    <x:row r="46">
      <x:c r="A46" s="32" t="str">
        <x:v>Auth/Session</x:v>
      </x:c>
      <x:c r="B46" s="32" t="str">
        <x:v>User-scoped local storage</x:v>
      </x:c>
      <x:c r="C46" s="32" t="str">
        <x:v>Verified</x:v>
      </x:c>
      <x:c r="D46" s="32" t="str">
        <x:v>P0</x:v>
      </x:c>
      <x:c r="E46" s="32" t="str">
        <x:v>P0.9</x:v>
      </x:c>
      <x:c r="F46" s="32" t="str"/>
      <x:c r="G46" s="32" t="str">
        <x:v>Optional org-scoped future</x:v>
      </x:c>
      <x:c r="H46" s="32" t="str">
        <x:v>Prevents cross-user leaks.</x:v>
      </x:c>
    </x:row>
    <x:row r="47">
      <x:c r="A47" s="32" t="str">
        <x:v>Workspace</x:v>
      </x:c>
      <x:c r="B47" s="32" t="str">
        <x:v>Create workspace</x:v>
      </x:c>
      <x:c r="C47" s="32" t="str">
        <x:v>Verified</x:v>
      </x:c>
      <x:c r="D47" s="32" t="str">
        <x:v>P0</x:v>
      </x:c>
      <x:c r="E47" s="32" t="str">
        <x:v>Workspace Foundation</x:v>
      </x:c>
      <x:c r="F47" s="32" t="str"/>
      <x:c r="G47" s="32" t="str">
        <x:v>Keep</x:v>
      </x:c>
      <x:c r="H47" s="32" t="str">
        <x:v>Modal flow.</x:v>
      </x:c>
    </x:row>
    <x:row r="48">
      <x:c r="A48" s="32" t="str">
        <x:v>Workspace</x:v>
      </x:c>
      <x:c r="B48" s="32" t="str">
        <x:v>Switch workspace without billing/member/pack leakage</x:v>
      </x:c>
      <x:c r="C48" s="32" t="str">
        <x:v>Verified</x:v>
      </x:c>
      <x:c r="D48" s="32" t="str">
        <x:v>P0</x:v>
      </x:c>
      <x:c r="E48" s="32" t="str">
        <x:v>Workspace Foundation</x:v>
      </x:c>
      <x:c r="F48" s="32" t="str"/>
      <x:c r="G48" s="32" t="str">
        <x:v>Cases view sign-off optional</x:v>
      </x:c>
      <x:c r="H48" s="32" t="str">
        <x:v>Browser proof exists.</x:v>
      </x:c>
    </x:row>
    <x:row r="49">
      <x:c r="A49" s="32" t="str">
        <x:v>Workspace</x:v>
      </x:c>
      <x:c r="B49" s="32" t="str">
        <x:v>Archive workspace</x:v>
      </x:c>
      <x:c r="C49" s="32" t="str">
        <x:v>Verified</x:v>
      </x:c>
      <x:c r="D49" s="32" t="str">
        <x:v>P0</x:v>
      </x:c>
      <x:c r="E49" s="32" t="str">
        <x:v>Workspace Lifecycle</x:v>
      </x:c>
      <x:c r="F49" s="32" t="str"/>
      <x:c r="G49" s="32" t="str">
        <x:v>Keep</x:v>
      </x:c>
      <x:c r="H49" s="32" t="str">
        <x:v>Owner-only, no Stripe mutation.</x:v>
      </x:c>
    </x:row>
    <x:row r="50">
      <x:c r="A50" s="32" t="str">
        <x:v>Workspace</x:v>
      </x:c>
      <x:c r="B50" s="32" t="str">
        <x:v>Leave workspace</x:v>
      </x:c>
      <x:c r="C50" s="32" t="str">
        <x:v>Verified</x:v>
      </x:c>
      <x:c r="D50" s="32" t="str">
        <x:v>P0</x:v>
      </x:c>
      <x:c r="E50" s="32" t="str">
        <x:v>Workspace Lifecycle</x:v>
      </x:c>
      <x:c r="F50" s="32" t="str"/>
      <x:c r="G50" s="32" t="str">
        <x:v>Keep</x:v>
      </x:c>
      <x:c r="H50" s="32" t="str">
        <x:v>Non-owner only; billing unchanged.</x:v>
      </x:c>
    </x:row>
    <x:row r="51">
      <x:c r="A51" s="32" t="str">
        <x:v>Membership</x:v>
      </x:c>
      <x:c r="B51" s="32" t="str">
        <x:v>Owner/Admin/Member roles</x:v>
      </x:c>
      <x:c r="C51" s="32" t="str">
        <x:v>Implemented</x:v>
      </x:c>
      <x:c r="D51" s="32" t="str">
        <x:v>P0</x:v>
      </x:c>
      <x:c r="E51" s="32" t="str">
        <x:v>Membership</x:v>
      </x:c>
      <x:c r="F51" s="32" t="str"/>
      <x:c r="G51" s="32" t="str">
        <x:v>Keep</x:v>
      </x:c>
      <x:c r="H51" s="32" t="str">
        <x:v>Role model stable.</x:v>
      </x:c>
    </x:row>
    <x:row r="52">
      <x:c r="A52" s="32" t="str">
        <x:v>Membership</x:v>
      </x:c>
      <x:c r="B52" s="32" t="str">
        <x:v>Invite create/resend/copy/accept</x:v>
      </x:c>
      <x:c r="C52" s="32" t="str">
        <x:v>Verified</x:v>
      </x:c>
      <x:c r="D52" s="32" t="str">
        <x:v>P1</x:v>
      </x:c>
      <x:c r="E52" s="32" t="str">
        <x:v>Membership</x:v>
      </x:c>
      <x:c r="F52" s="32" t="str"/>
      <x:c r="G52" s="32" t="str">
        <x:v>Keep</x:v>
      </x:c>
      <x:c r="H52" s="32" t="str">
        <x:v>Staging validated.</x:v>
      </x:c>
    </x:row>
    <x:row r="53">
      <x:c r="A53" s="32" t="str">
        <x:v>Membership</x:v>
      </x:c>
      <x:c r="B53" s="32" t="str">
        <x:v>Invite expiration/revocation</x:v>
      </x:c>
      <x:c r="C53" s="32" t="str">
        <x:v>Verified</x:v>
      </x:c>
      <x:c r="D53" s="32" t="str">
        <x:v>P1</x:v>
      </x:c>
      <x:c r="E53" s="32" t="str">
        <x:v>Membership</x:v>
      </x:c>
      <x:c r="F53" s="32" t="str"/>
      <x:c r="G53" s="32" t="str">
        <x:v>Keep</x:v>
      </x:c>
      <x:c r="H53" s="32" t="str">
        <x:v>Server enforced.</x:v>
      </x:c>
    </x:row>
    <x:row r="54">
      <x:c r="A54" s="32" t="str">
        <x:v>Membership</x:v>
      </x:c>
      <x:c r="B54" s="32" t="str">
        <x:v>Admin restrictions</x:v>
      </x:c>
      <x:c r="C54" s="32" t="str">
        <x:v>Implemented</x:v>
      </x:c>
      <x:c r="D54" s="32" t="str">
        <x:v>P0</x:v>
      </x:c>
      <x:c r="E54" s="32" t="str">
        <x:v>Role Hardening</x:v>
      </x:c>
      <x:c r="F54" s="32" t="str"/>
      <x:c r="G54" s="32" t="str">
        <x:v>Live Admin remove-member sign-off still open</x:v>
      </x:c>
      <x:c r="H54" s="32" t="str">
        <x:v>RLS + Edge guard.</x:v>
      </x:c>
    </x:row>
    <x:row r="55">
      <x:c r="A55" s="32" t="str">
        <x:v>Billing</x:v>
      </x:c>
      <x:c r="B55" s="32" t="str">
        <x:v>Owner-only billing UI/actions</x:v>
      </x:c>
      <x:c r="C55" s="32" t="str">
        <x:v>Verified</x:v>
      </x:c>
      <x:c r="D55" s="32" t="str">
        <x:v>P0</x:v>
      </x:c>
      <x:c r="E55" s="32" t="str">
        <x:v>Billing</x:v>
      </x:c>
      <x:c r="F55" s="32" t="str"/>
      <x:c r="G55" s="32" t="str">
        <x:v>Keep</x:v>
      </x:c>
      <x:c r="H55" s="32" t="str">
        <x:v>Owner money actions.</x:v>
      </x:c>
    </x:row>
    <x:row r="56">
      <x:c r="A56" s="32" t="str">
        <x:v>Billing</x:v>
      </x:c>
      <x:c r="B56" s="32" t="str">
        <x:v>Trial relative display</x:v>
      </x:c>
      <x:c r="C56" s="32" t="str">
        <x:v>Verified</x:v>
      </x:c>
      <x:c r="D56" s="32" t="str">
        <x:v>P0</x:v>
      </x:c>
      <x:c r="E56" s="32" t="str">
        <x:v>Billing</x:v>
      </x:c>
      <x:c r="F56" s="32" t="str"/>
      <x:c r="G56" s="32" t="str">
        <x:v>Keep</x:v>
      </x:c>
      <x:c r="H56" s="32" t="str">
        <x:v>Ends in X days.</x:v>
      </x:c>
    </x:row>
    <x:row r="57">
      <x:c r="A57" s="32" t="str">
        <x:v>Billing</x:v>
      </x:c>
      <x:c r="B57" s="32" t="str">
        <x:v>Trial-expired soft lock</x:v>
      </x:c>
      <x:c r="C57" s="32" t="str">
        <x:v>Verified</x:v>
      </x:c>
      <x:c r="D57" s="32" t="str">
        <x:v>P0</x:v>
      </x:c>
      <x:c r="E57" s="32" t="str">
        <x:v>Billing</x:v>
      </x:c>
      <x:c r="F57" s="32" t="str"/>
      <x:c r="G57" s="32" t="str">
        <x:v>Add screenshots/timestamps if needed</x:v>
      </x:c>
      <x:c r="H57" s="32" t="str">
        <x:v>Sticky latch.</x:v>
      </x:c>
    </x:row>
    <x:row r="58">
      <x:c r="A58" s="32" t="str">
        <x:v>Billing</x:v>
      </x:c>
      <x:c r="B58" s="32" t="str">
        <x:v>Past-due grace window</x:v>
      </x:c>
      <x:c r="C58" s="32" t="str">
        <x:v>Implemented</x:v>
      </x:c>
      <x:c r="D58" s="32" t="str">
        <x:v>P0</x:v>
      </x:c>
      <x:c r="E58" s="32" t="str">
        <x:v>Billing</x:v>
      </x:c>
      <x:c r="F58" s="32" t="str"/>
      <x:c r="G58" s="32" t="str">
        <x:v>Live edge-case sign-off if needed</x:v>
      </x:c>
      <x:c r="H58" s="32" t="str">
        <x:v>Warning + block after grace.</x:v>
      </x:c>
    </x:row>
    <x:row r="59">
      <x:c r="A59" s="32" t="str">
        <x:v>Billing</x:v>
      </x:c>
      <x:c r="B59" s="32" t="str">
        <x:v>Billing retry reliability</x:v>
      </x:c>
      <x:c r="C59" s="32" t="str">
        <x:v>Verified</x:v>
      </x:c>
      <x:c r="D59" s="32" t="str">
        <x:v>P0</x:v>
      </x:c>
      <x:c r="E59" s="32" t="str">
        <x:v>Billing</x:v>
      </x:c>
      <x:c r="F59" s="32" t="str"/>
      <x:c r="G59" s="32" t="str">
        <x:v>Keep</x:v>
      </x:c>
      <x:c r="H59" s="32" t="str">
        <x:v>Retry/refresh and failed-state poisoning fixed.</x:v>
      </x:c>
    </x:row>
    <x:row r="60">
      <x:c r="A60" s="32" t="str">
        <x:v>Billing</x:v>
      </x:c>
      <x:c r="B60" s="32" t="str">
        <x:v>Workspace limit reached UI/gates</x:v>
      </x:c>
      <x:c r="C60" s="32" t="str">
        <x:v>Verified</x:v>
      </x:c>
      <x:c r="D60" s="32" t="str">
        <x:v>P0</x:v>
      </x:c>
      <x:c r="E60" s="32" t="str">
        <x:v>Billing</x:v>
      </x:c>
      <x:c r="F60" s="32" t="str"/>
      <x:c r="G60" s="32" t="str">
        <x:v>Keep</x:v>
      </x:c>
      <x:c r="H60" s="32" t="str">
        <x:v>Real fixture exists.</x:v>
      </x:c>
    </x:row>
    <x:row r="61">
      <x:c r="A61" s="32" t="str">
        <x:v>Account Deletion</x:v>
      </x:c>
      <x:c r="B61" s="32" t="str">
        <x:v>Delete account last-owner block</x:v>
      </x:c>
      <x:c r="C61" s="32" t="str">
        <x:v>Implemented</x:v>
      </x:c>
      <x:c r="D61" s="32" t="str">
        <x:v>P0</x:v>
      </x:c>
      <x:c r="E61" s="32" t="str">
        <x:v>Account Safety</x:v>
      </x:c>
      <x:c r="F61" s="32" t="str"/>
      <x:c r="G61" s="32" t="str">
        <x:v>Browser validation if not done</x:v>
      </x:c>
      <x:c r="H61" s="32" t="str">
        <x:v>Server block message.</x:v>
      </x:c>
    </x:row>
    <x:row r="62">
      <x:c r="A62" s="32" t="str">
        <x:v>Account Deletion</x:v>
      </x:c>
      <x:c r="B62" s="32" t="str">
        <x:v>30-day deletion request</x:v>
      </x:c>
      <x:c r="C62" s="32" t="str">
        <x:v>Implemented</x:v>
      </x:c>
      <x:c r="D62" s="32" t="str">
        <x:v>P0</x:v>
      </x:c>
      <x:c r="E62" s="32" t="str">
        <x:v>Account Safety</x:v>
      </x:c>
      <x:c r="F62" s="32" t="str"/>
      <x:c r="G62" s="32" t="str">
        <x:v>Keep</x:v>
      </x:c>
      <x:c r="H62" s="32" t="str">
        <x:v>Request state.</x:v>
      </x:c>
    </x:row>
    <x:row r="63">
      <x:c r="A63" s="32" t="str">
        <x:v>Account Deletion</x:v>
      </x:c>
      <x:c r="B63" s="32" t="str">
        <x:v>Cancel deletion support endpoint</x:v>
      </x:c>
      <x:c r="C63" s="32" t="str">
        <x:v>Implemented</x:v>
      </x:c>
      <x:c r="D63" s="32" t="str">
        <x:v>P0</x:v>
      </x:c>
      <x:c r="E63" s="32" t="str">
        <x:v>Account Safety</x:v>
      </x:c>
      <x:c r="F63" s="32" t="str"/>
      <x:c r="G63" s="32" t="str">
        <x:v>Keep</x:v>
      </x:c>
      <x:c r="H63" s="32" t="str">
        <x:v>Support-secret protected.</x:v>
      </x:c>
    </x:row>
    <x:row r="64">
      <x:c r="A64" s="32" t="str">
        <x:v>Account Deletion</x:v>
      </x:c>
      <x:c r="B64" s="32" t="str">
        <x:v>Purge deleted accounts</x:v>
      </x:c>
      <x:c r="C64" s="32" t="str">
        <x:v>Implemented</x:v>
      </x:c>
      <x:c r="D64" s="32" t="str">
        <x:v>P0</x:v>
      </x:c>
      <x:c r="E64" s="32" t="str">
        <x:v>Account Safety</x:v>
      </x:c>
      <x:c r="F64" s="32" t="str"/>
      <x:c r="G64" s="32" t="str">
        <x:v>Manual/scheduler policy open</x:v>
      </x:c>
      <x:c r="H64" s="32" t="str">
        <x:v>Support-invoked MVP.</x:v>
      </x:c>
    </x:row>
    <x:row r="65">
      <x:c r="A65" s="32" t="str">
        <x:v>UI/Theme</x:v>
      </x:c>
      <x:c r="B65" s="32" t="str">
        <x:v>Light/dark theme</x:v>
      </x:c>
      <x:c r="C65" s="32" t="str">
        <x:v>Implemented</x:v>
      </x:c>
      <x:c r="D65" s="32" t="str">
        <x:v>P2</x:v>
      </x:c>
      <x:c r="E65" s="32" t="str">
        <x:v>UI</x:v>
      </x:c>
      <x:c r="F65" s="32" t="str"/>
      <x:c r="G65" s="32" t="str">
        <x:v>Keep</x:v>
      </x:c>
      <x:c r="H65" s="32" t="str">
        <x:v>Theme toggle.</x:v>
      </x:c>
    </x:row>
    <x:row r="66">
      <x:c r="A66" s="32" t="str">
        <x:v>UI/Theme</x:v>
      </x:c>
      <x:c r="B66" s="32" t="str">
        <x:v>Settings UI desktop stabilization</x:v>
      </x:c>
      <x:c r="C66" s="32" t="str">
        <x:v>Implemented</x:v>
      </x:c>
      <x:c r="D66" s="32" t="str">
        <x:v>P1</x:v>
      </x:c>
      <x:c r="E66" s="32" t="str">
        <x:v>UI-STABILIZATION-1/2</x:v>
      </x:c>
      <x:c r="F66" s="32" t="str"/>
      <x:c r="G66" s="32" t="str">
        <x:v>Proceed to mobile polish</x:v>
      </x:c>
      <x:c r="H66" s="32" t="str">
        <x:v>Advanced layout improved.</x:v>
      </x:c>
    </x:row>
    <x:row r="67">
      <x:c r="A67" s="32" t="str">
        <x:v>Security/Data</x:v>
      </x:c>
      <x:c r="B67" s="32" t="str">
        <x:v>RLS and guardrails</x:v>
      </x:c>
      <x:c r="C67" s="32" t="str">
        <x:v>Verified</x:v>
      </x:c>
      <x:c r="D67" s="32" t="str">
        <x:v>P0</x:v>
      </x:c>
      <x:c r="E67" s="32" t="str">
        <x:v>Security</x:v>
      </x:c>
      <x:c r="F67" s="32" t="str"/>
      <x:c r="G67" s="32" t="str">
        <x:v>Keep</x:v>
      </x:c>
      <x:c r="H67" s="32" t="str">
        <x:v>No wildcard CORS etc.</x:v>
      </x:c>
    </x:row>
    <x:row r="68">
      <x:c r="A68" s="32" t="str">
        <x:v>Security/Data</x:v>
      </x:c>
      <x:c r="B68" s="32" t="str">
        <x:v>Sanitized JSON imports</x:v>
      </x:c>
      <x:c r="C68" s="32" t="str">
        <x:v>Implemented</x:v>
      </x:c>
      <x:c r="D68" s="32" t="str">
        <x:v>P0</x:v>
      </x:c>
      <x:c r="E68" s="32" t="str">
        <x:v>Import Safety</x:v>
      </x:c>
      <x:c r="F68" s="32" t="str"/>
      <x:c r="G68" s="32" t="str">
        <x:v>A0C import stress</x:v>
      </x:c>
      <x:c r="H68" s="32" t="str">
        <x:v>Prototype pollution prevention.</x:v>
      </x:c>
    </x:row>
    <x:row r="69">
      <x:c r="A69" s="32" t="str">
        <x:v>Security/Data</x:v>
      </x:c>
      <x:c r="B69" s="32" t="str">
        <x:v>DB health checks</x:v>
      </x:c>
      <x:c r="C69" s="32" t="str">
        <x:v>Verified</x:v>
      </x:c>
      <x:c r="D69" s="32" t="str">
        <x:v>P0</x:v>
      </x:c>
      <x:c r="E69" s="32" t="str">
        <x:v>P0.6</x:v>
      </x:c>
      <x:c r="F69" s="32" t="str"/>
      <x:c r="G69" s="32" t="str">
        <x:v>Run before release</x:v>
      </x:c>
      <x:c r="H69" s="32" t="str">
        <x:v>Q1-Q6 clean.</x:v>
      </x:c>
    </x:row>
  </x:sheetData>
  <x:conditionalFormatting sqref="C2:C69">
    <x:cfRule type="expression" dxfId="5" priority="1">
      <x:formula>OR(C2="Implemented",C2="Verified")</x:formula>
    </x:cfRule>
    <x:cfRule type="expression" dxfId="6" priority="2">
      <x:formula>OR(C2="Open",C2="Next",C2="Partial",C2="Needs Validation")</x:formula>
    </x:cfRule>
    <x:cfRule type="expression" dxfId="7" priority="3">
      <x:formula>C2="Deferred"</x:formula>
    </x:cfRule>
  </x:conditionalFormatting>
  <x:conditionalFormatting sqref="D2:D69">
    <x:cfRule type="expression" dxfId="8" priority="4">
      <x:formula>D2="P0"</x:formula>
    </x:cfRule>
    <x:cfRule type="expression" dxfId="9" priority="5">
      <x:formula>D2="P1"</x:formula>
    </x:cfRule>
  </x:conditionalFormatting>
  <x:dataValidations count="2">
    <x:dataValidation type="list" sqref="C2:C69">
      <x:formula1>"Implemented,Verified,Partial,Needs Validation,Open,Next,Planned,Deferred"</x:formula1>
    </x:dataValidation>
    <x:dataValidation type="list" sqref="D2:D69">
      <x:formula1>"P0,P0/P1,P1,P1/P2,P2,P2/P3,P3"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20187b51114a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12" hidden="0" customWidth="1"/>
    <x:col min="5" max="5" width="24" hidden="0" customWidth="1"/>
    <x:col min="6" max="6" width="16" hidden="0" customWidth="1"/>
    <x:col min="7" max="7" width="45" hidden="0" customWidth="1"/>
    <x:col min="8" max="8" width="58" hidden="0" customWidth="1"/>
  </x:cols>
  <x:sheetData>
    <x:row r="1" ht="26" customHeight="1">
      <x:c r="A1" s="38" t="str">
        <x:v>Category</x:v>
      </x:c>
      <x:c r="B1" s="38" t="str">
        <x:v>Feature</x:v>
      </x:c>
      <x:c r="C1" s="38" t="str">
        <x:v>Status</x:v>
      </x:c>
      <x:c r="D1" s="38" t="str">
        <x:v>Priority</x:v>
      </x:c>
      <x:c r="E1" s="38" t="str">
        <x:v>Phase</x:v>
      </x:c>
      <x:c r="F1" s="38" t="str">
        <x:v>Owner</x:v>
      </x:c>
      <x:c r="G1" s="38" t="str">
        <x:v>Next Action</x:v>
      </x:c>
      <x:c r="H1" s="38" t="str">
        <x:v>Notes</x:v>
      </x:c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2" t="str">
        <x:v>3D Editor</x:v>
      </x:c>
      <x:c r="B2" s="32" t="str">
        <x:v>Snapping system</x:v>
      </x:c>
      <x:c r="C2" s="32" t="str">
        <x:v>Partial</x:v>
      </x:c>
      <x:c r="D2" s="32" t="str">
        <x:v>P1</x:v>
      </x:c>
      <x:c r="E2" s="32" t="str">
        <x:v>Editor Core</x:v>
      </x:c>
      <x:c r="F2" s="32" t="str"/>
      <x:c r="G2" s="32" t="str">
        <x:v>A0C collision/snap browser test</x:v>
      </x:c>
      <x:c r="H2" s="32" t="str">
        <x:v>A0B fixed missing geometry-property usage.</x:v>
      </x:c>
    </x:row>
    <x:row r="3">
      <x:c r="A3" s="32" t="str">
        <x:v>3D Editor</x:v>
      </x:c>
      <x:c r="B3" s="32" t="str">
        <x:v>Gravity / resting simulation</x:v>
      </x:c>
      <x:c r="C3" s="32" t="str">
        <x:v>Partial</x:v>
      </x:c>
      <x:c r="D3" s="32" t="str">
        <x:v>P0</x:v>
      </x:c>
      <x:c r="E3" s="32" t="str">
        <x:v>AutoPack A1</x:v>
      </x:c>
      <x:c r="F3" s="32" t="str"/>
      <x:c r="G3" s="32" t="str">
        <x:v>A1 tests for stacking and staged items</x:v>
      </x:c>
      <x:c r="H3" s="32" t="str">
        <x:v>Existing findRestingY; scoring/stack enforcement still needs hardening.</x:v>
      </x:c>
    </x:row>
    <x:row r="4">
      <x:c r="A4" s="32" t="str">
        <x:v>3D Editor</x:v>
      </x:c>
      <x:c r="B4" s="32" t="str">
        <x:v>Staging area outside truck</x:v>
      </x:c>
      <x:c r="C4" s="32" t="str">
        <x:v>Needs Validation</x:v>
      </x:c>
      <x:c r="D4" s="32" t="str">
        <x:v>P0</x:v>
      </x:c>
      <x:c r="E4" s="32" t="str">
        <x:v>AutoPack A0C</x:v>
      </x:c>
      <x:c r="F4" s="32" t="str"/>
      <x:c r="G4" s="32" t="str">
        <x:v>Validate staged item spacing and collision</x:v>
      </x:c>
      <x:c r="H4" s="32" t="str">
        <x:v>User wants staged/unpacked items not overlapping.</x:v>
      </x:c>
    </x:row>
    <x:row r="5">
      <x:c r="A5" s="32" t="str">
        <x:v>Case Library</x:v>
      </x:c>
      <x:c r="B5" s="32" t="str">
        <x:v>Stackable true/false</x:v>
      </x:c>
      <x:c r="C5" s="32" t="str">
        <x:v>Partial</x:v>
      </x:c>
      <x:c r="D5" s="32" t="str">
        <x:v>P0</x:v>
      </x:c>
      <x:c r="E5" s="32" t="str">
        <x:v>AutoPack A1</x:v>
      </x:c>
      <x:c r="F5" s="32" t="str"/>
      <x:c r="G5" s="32" t="str">
        <x:v>Enforce in solver with tests</x:v>
      </x:c>
      <x:c r="H5" s="32" t="str">
        <x:v>Model has fields; enforcement still needs proof.</x:v>
      </x:c>
    </x:row>
    <x:row r="6">
      <x:c r="A6" s="32" t="str">
        <x:v>Case Library</x:v>
      </x:c>
      <x:c r="B6" s="32" t="str">
        <x:v>noStackOnTop</x:v>
      </x:c>
      <x:c r="C6" s="32" t="str">
        <x:v>Partial</x:v>
      </x:c>
      <x:c r="D6" s="32" t="str">
        <x:v>P0</x:v>
      </x:c>
      <x:c r="E6" s="32" t="str">
        <x:v>AutoPack A1</x:v>
      </x:c>
      <x:c r="F6" s="32" t="str"/>
      <x:c r="G6" s="32" t="str">
        <x:v>Add fixture and browser stress</x:v>
      </x:c>
      <x:c r="H6" s="32" t="str">
        <x:v>A1 focus.</x:v>
      </x:c>
    </x:row>
    <x:row r="7">
      <x:c r="A7" s="32" t="str">
        <x:v>Case Library</x:v>
      </x:c>
      <x:c r="B7" s="32" t="str">
        <x:v>Max stack count</x:v>
      </x:c>
      <x:c r="C7" s="32" t="str">
        <x:v>Partial</x:v>
      </x:c>
      <x:c r="D7" s="32" t="str">
        <x:v>P0</x:v>
      </x:c>
      <x:c r="E7" s="32" t="str">
        <x:v>AutoPack A1</x:v>
      </x:c>
      <x:c r="F7" s="32" t="str"/>
      <x:c r="G7" s="32" t="str">
        <x:v>Clarify total tower enforcement</x:v>
      </x:c>
      <x:c r="H7" s="32" t="str">
        <x:v>Currently partially enforced directly above base only.</x:v>
      </x:c>
    </x:row>
    <x:row r="8">
      <x:c r="A8" s="32" t="str">
        <x:v>Case Library</x:v>
      </x:c>
      <x:c r="B8" s="32" t="str">
        <x:v>With Like stacking</x:v>
      </x:c>
      <x:c r="C8" s="32" t="str">
        <x:v>Planned</x:v>
      </x:c>
      <x:c r="D8" s="32" t="str">
        <x:v>P1</x:v>
      </x:c>
      <x:c r="E8" s="32" t="str">
        <x:v>AutoPack A1/B</x:v>
      </x:c>
      <x:c r="F8" s="32" t="str"/>
      <x:c r="G8" s="32" t="str">
        <x:v>Verify reference behavior before schema/UI change</x:v>
      </x:c>
      <x:c r="H8" s="32" t="str">
        <x:v>Reference app evidence mixed; do not rush.</x:v>
      </x:c>
    </x:row>
    <x:row r="9">
      <x:c r="A9" s="32" t="str">
        <x:v>Case Library</x:v>
      </x:c>
      <x:c r="B9" s="32" t="str">
        <x:v>Pallet flag</x:v>
      </x:c>
      <x:c r="C9" s="32" t="str">
        <x:v>Deferred</x:v>
      </x:c>
      <x:c r="D9" s="32" t="str">
        <x:v>P3</x:v>
      </x:c>
      <x:c r="E9" s="32" t="str">
        <x:v>Future Packing Groups</x:v>
      </x:c>
      <x:c r="F9" s="32" t="str"/>
      <x:c r="G9" s="32" t="str">
        <x:v>Defer</x:v>
      </x:c>
      <x:c r="H9" s="32" t="str">
        <x:v>Model field exists, not used.</x:v>
      </x:c>
    </x:row>
    <x:row r="10">
      <x:c r="A10" s="32" t="str">
        <x:v>Pack Management</x:v>
      </x:c>
      <x:c r="B10" s="32" t="str">
        <x:v>Loading direction / unload order support</x:v>
      </x:c>
      <x:c r="C10" s="32" t="str">
        <x:v>Planned</x:v>
      </x:c>
      <x:c r="D10" s="32" t="str">
        <x:v>P1</x:v>
      </x:c>
      <x:c r="E10" s="32" t="str">
        <x:v>AutoPack A1/B</x:v>
      </x:c>
      <x:c r="F10" s="32" t="str"/>
      <x:c r="G10" s="32" t="str">
        <x:v>Add metadata after solver correctness</x:v>
      </x:c>
      <x:c r="H10" s="32" t="str">
        <x:v>Needed for drop-off-first planning; not yet modelled.</x:v>
      </x:c>
    </x:row>
    <x:row r="11">
      <x:c r="A11" s="32" t="str">
        <x:v>AutoPack</x:v>
      </x:c>
      <x:c r="B11" s="32" t="str">
        <x:v>Full browser stress pass</x:v>
      </x:c>
      <x:c r="C11" s="32" t="str">
        <x:v>Next</x:v>
      </x:c>
      <x:c r="D11" s="32" t="str">
        <x:v>P0</x:v>
      </x:c>
      <x:c r="E11" s="32" t="str">
        <x:v>AUTO-PACK-A0C</x:v>
      </x:c>
      <x:c r="F11" s="32" t="str"/>
      <x:c r="G11" s="32" t="str">
        <x:v>Run broad browser stress prompt</x:v>
      </x:c>
      <x:c r="H11" s="32" t="str">
        <x:v>Units/import/export/staged collision/manual edit.</x:v>
      </x:c>
    </x:row>
    <x:row r="12">
      <x:c r="A12" s="32" t="str">
        <x:v>AutoPack</x:v>
      </x:c>
      <x:c r="B12" s="32" t="str">
        <x:v>Stack/no-stack/max stack fixture tests</x:v>
      </x:c>
      <x:c r="C12" s="32" t="str">
        <x:v>Open</x:v>
      </x:c>
      <x:c r="D12" s="32" t="str">
        <x:v>P0</x:v>
      </x:c>
      <x:c r="E12" s="32" t="str">
        <x:v>AUTO-PACK-A1A</x:v>
      </x:c>
      <x:c r="F12" s="32" t="str"/>
      <x:c r="G12" s="32" t="str">
        <x:v>Add fixture tests before scoring changes</x:v>
      </x:c>
      <x:c r="H12" s="32" t="str">
        <x:v>Correctness foundation.</x:v>
      </x:c>
    </x:row>
    <x:row r="13">
      <x:c r="A13" s="32" t="str">
        <x:v>AutoPack</x:v>
      </x:c>
      <x:c r="B13" s="32" t="str">
        <x:v>Stacking-aware scoring quality</x:v>
      </x:c>
      <x:c r="C13" s="32" t="str">
        <x:v>Open</x:v>
      </x:c>
      <x:c r="D13" s="32" t="str">
        <x:v>P0</x:v>
      </x:c>
      <x:c r="E13" s="32" t="str">
        <x:v>AUTO-PACK-A1B</x:v>
      </x:c>
      <x:c r="F13" s="32" t="str"/>
      <x:c r="G13" s="32" t="str">
        <x:v>Tune scoring after fixtures</x:v>
      </x:c>
      <x:c r="H13" s="32" t="str">
        <x:v>Reduce valid staged leftovers.</x:v>
      </x:c>
    </x:row>
    <x:row r="14">
      <x:c r="A14" s="32" t="str">
        <x:v>AutoPack</x:v>
      </x:c>
      <x:c r="B14" s="32" t="str">
        <x:v>Dynamic multi-solution model</x:v>
      </x:c>
      <x:c r="C14" s="32" t="str">
        <x:v>Planned</x:v>
      </x:c>
      <x:c r="D14" s="32" t="str">
        <x:v>P1</x:v>
      </x:c>
      <x:c r="E14" s="32" t="str">
        <x:v>AUTO-PACK-A2</x:v>
      </x:c>
      <x:c r="F14" s="32" t="str"/>
      <x:c r="G14" s="32" t="str">
        <x:v>Only after single-solution quality</x:v>
      </x:c>
      <x:c r="H14" s="32" t="str">
        <x:v>Support 1–5 solutions, not hard-code 5.</x:v>
      </x:c>
    </x:row>
    <x:row r="15">
      <x:c r="A15" s="32" t="str">
        <x:v>AutoPack</x:v>
      </x:c>
      <x:c r="B15" s="32" t="str">
        <x:v>Delivery/unload order metadata</x:v>
      </x:c>
      <x:c r="C15" s="32" t="str">
        <x:v>Planned</x:v>
      </x:c>
      <x:c r="D15" s="32" t="str">
        <x:v>P1</x:v>
      </x:c>
      <x:c r="E15" s="32" t="str">
        <x:v>AUTO-PACK-A1/B</x:v>
      </x:c>
      <x:c r="F15" s="32" t="str"/>
      <x:c r="G15" s="32" t="str">
        <x:v>Add after A1 fixtures or with A2 strategy model</x:v>
      </x:c>
      <x:c r="H15" s="32" t="str">
        <x:v>Needed for drop-off-first logic.</x:v>
      </x:c>
    </x:row>
    <x:row r="16">
      <x:c r="A16" s="32" t="str">
        <x:v>AutoPack</x:v>
      </x:c>
      <x:c r="B16" s="32" t="str">
        <x:v>Weight-aware / heavy-low strategy</x:v>
      </x:c>
      <x:c r="C16" s="32" t="str">
        <x:v>Planned</x:v>
      </x:c>
      <x:c r="D16" s="32" t="str">
        <x:v>P1</x:v>
      </x:c>
      <x:c r="E16" s="32" t="str">
        <x:v>AUTO-PACK-A2</x:v>
      </x:c>
      <x:c r="F16" s="32" t="str"/>
      <x:c r="G16" s="32" t="str">
        <x:v>After Scale/Weight stats trust</x:v>
      </x:c>
      <x:c r="H16" s="32" t="str">
        <x:v>Strategy variant.</x:v>
      </x:c>
    </x:row>
    <x:row r="17">
      <x:c r="A17" s="32" t="str">
        <x:v>Import/Export</x:v>
      </x:c>
      <x:c r="B17" s="32" t="str">
        <x:v>Workspace Import UI</x:v>
      </x:c>
      <x:c r="C17" s="32" t="str">
        <x:v>Deferred</x:v>
      </x:c>
      <x:c r="D17" s="32" t="str">
        <x:v>P2</x:v>
      </x:c>
      <x:c r="E17" s="32" t="str">
        <x:v>Future Import</x:v>
      </x:c>
      <x:c r="F17" s="32" t="str"/>
      <x:c r="G17" s="32" t="str">
        <x:v>Do not wire until product rules clear</x:v>
      </x:c>
      <x:c r="H17" s="32" t="str">
        <x:v>Parser exists.</x:v>
      </x:c>
    </x:row>
    <x:row r="18">
      <x:c r="A18" s="32" t="str">
        <x:v>Import/Export</x:v>
      </x:c>
      <x:c r="B18" s="32" t="str">
        <x:v>PDF weight capacity header</x:v>
      </x:c>
      <x:c r="C18" s="32" t="str">
        <x:v>Planned</x:v>
      </x:c>
      <x:c r="D18" s="32" t="str">
        <x:v>P1</x:v>
      </x:c>
      <x:c r="E18" s="32" t="str">
        <x:v>PDF Parity</x:v>
      </x:c>
      <x:c r="F18" s="32" t="str"/>
      <x:c r="G18" s="32" t="str">
        <x:v>After Scale/Payload model</x:v>
      </x:c>
      <x:c r="H18" s="32" t="str">
        <x:v>Tracked gap.</x:v>
      </x:c>
    </x:row>
    <x:row r="19">
      <x:c r="A19" s="32" t="str">
        <x:v>Import/Export</x:v>
      </x:c>
      <x:c r="B19" s="32" t="str">
        <x:v>PDF grouped case summary/color chips/front view</x:v>
      </x:c>
      <x:c r="C19" s="32" t="str">
        <x:v>Planned</x:v>
      </x:c>
      <x:c r="D19" s="32" t="str">
        <x:v>P2</x:v>
      </x:c>
      <x:c r="E19" s="32" t="str">
        <x:v>PDF Parity</x:v>
      </x:c>
      <x:c r="F19" s="32" t="str"/>
      <x:c r="G19" s="32" t="str">
        <x:v>After solver/Scale</x:v>
      </x:c>
      <x:c r="H19" s="32" t="str">
        <x:v>Improve report quality.</x:v>
      </x:c>
    </x:row>
    <x:row r="20">
      <x:c r="A20" s="32" t="str">
        <x:v>Workspace</x:v>
      </x:c>
      <x:c r="B20" s="32" t="str">
        <x:v>Restore workspace</x:v>
      </x:c>
      <x:c r="C20" s="32" t="str">
        <x:v>Needs Validation</x:v>
      </x:c>
      <x:c r="D20" s="32" t="str">
        <x:v>P0</x:v>
      </x:c>
      <x:c r="E20" s="32" t="str">
        <x:v>Workspace Lifecycle</x:v>
      </x:c>
      <x:c r="F20" s="32" t="str"/>
      <x:c r="G20" s="32" t="str">
        <x:v>Live billing refresh sign-off</x:v>
      </x:c>
      <x:c r="H20" s="32" t="str">
        <x:v>Implemented; sign-off open.</x:v>
      </x:c>
    </x:row>
    <x:row r="21">
      <x:c r="A21" s="32" t="str">
        <x:v>Workspace</x:v>
      </x:c>
      <x:c r="B21" s="32" t="str">
        <x:v>Transfer ownership</x:v>
      </x:c>
      <x:c r="C21" s="32" t="str">
        <x:v>Needs Validation</x:v>
      </x:c>
      <x:c r="D21" s="32" t="str">
        <x:v>P0</x:v>
      </x:c>
      <x:c r="E21" s="32" t="str">
        <x:v>Workspace Lifecycle</x:v>
      </x:c>
      <x:c r="F21" s="32" t="str"/>
      <x:c r="G21" s="32" t="str">
        <x:v>Define/test billing ownership behavior</x:v>
      </x:c>
      <x:c r="H21" s="32" t="str">
        <x:v>Implemented; billing policy open.</x:v>
      </x:c>
    </x:row>
    <x:row r="22">
      <x:c r="A22" s="32" t="str">
        <x:v>Workspace</x:v>
      </x:c>
      <x:c r="B22" s="32" t="str">
        <x:v>Permanent delete workspace</x:v>
      </x:c>
      <x:c r="C22" s="32" t="str">
        <x:v>Deferred</x:v>
      </x:c>
      <x:c r="D22" s="32" t="str">
        <x:v>P2</x:v>
      </x:c>
      <x:c r="E22" s="32" t="str">
        <x:v>Workspace Lifecycle</x:v>
      </x:c>
      <x:c r="F22" s="32" t="str"/>
      <x:c r="G22" s="32" t="str">
        <x:v>Defer</x:v>
      </x:c>
      <x:c r="H22" s="32" t="str">
        <x:v>Needs retention/export/ownership rules.</x:v>
      </x:c>
    </x:row>
    <x:row r="23">
      <x:c r="A23" s="32" t="str">
        <x:v>Workspace</x:v>
      </x:c>
      <x:c r="B23" s="32" t="str">
        <x:v>Workspace slug / share-link model</x:v>
      </x:c>
      <x:c r="C23" s="32" t="str">
        <x:v>Deferred</x:v>
      </x:c>
      <x:c r="D23" s="32" t="str">
        <x:v>P2</x:v>
      </x:c>
      <x:c r="E23" s="32" t="str">
        <x:v>Phase S0</x:v>
      </x:c>
      <x:c r="F23" s="32" t="str"/>
      <x:c r="G23" s="32" t="str">
        <x:v>Do not implement yet</x:v>
      </x:c>
      <x:c r="H23" s="32" t="str">
        <x:v>Recommended secure pack share token.</x:v>
      </x:c>
    </x:row>
    <x:row r="24">
      <x:c r="A24" s="32" t="str">
        <x:v>Membership</x:v>
      </x:c>
      <x:c r="B24" s="32" t="str">
        <x:v>Removed-member access loss</x:v>
      </x:c>
      <x:c r="C24" s="32" t="str">
        <x:v>Needs Validation</x:v>
      </x:c>
      <x:c r="D24" s="32" t="str">
        <x:v>P1</x:v>
      </x:c>
      <x:c r="E24" s="32" t="str">
        <x:v>Membership</x:v>
      </x:c>
      <x:c r="F24" s="32" t="str"/>
      <x:c r="G24" s="32" t="str">
        <x:v>Two-tab live sign-off</x:v>
      </x:c>
      <x:c r="H24" s="32" t="str">
        <x:v>Code implemented.</x:v>
      </x:c>
    </x:row>
    <x:row r="25">
      <x:c r="A25" s="32" t="str">
        <x:v>Billing</x:v>
      </x:c>
      <x:c r="B25" s="32" t="str">
        <x:v>Portal Manage fallback</x:v>
      </x:c>
      <x:c r="C25" s="32" t="str">
        <x:v>Needs Validation</x:v>
      </x:c>
      <x:c r="D25" s="32" t="str">
        <x:v>P0</x:v>
      </x:c>
      <x:c r="E25" s="32" t="str">
        <x:v>Billing</x:v>
      </x:c>
      <x:c r="F25" s="32" t="str"/>
      <x:c r="G25" s="32" t="str">
        <x:v>Verify stale/schedule-managed portal sessions</x:v>
      </x:c>
      <x:c r="H25" s="32" t="str">
        <x:v>Code complete.</x:v>
      </x:c>
    </x:row>
    <x:row r="26">
      <x:c r="A26" s="32" t="str">
        <x:v>Account Deletion</x:v>
      </x:c>
      <x:c r="B26" s="32" t="str">
        <x:v>Self-service cancel deletion</x:v>
      </x:c>
      <x:c r="C26" s="32" t="str">
        <x:v>Deferred</x:v>
      </x:c>
      <x:c r="D26" s="32" t="str">
        <x:v>P2</x:v>
      </x:c>
      <x:c r="E26" s="32" t="str">
        <x:v>Account Safety</x:v>
      </x:c>
      <x:c r="F26" s="32" t="str"/>
      <x:c r="G26" s="32" t="str">
        <x:v>Defer</x:v>
      </x:c>
      <x:c r="H26" s="32" t="str">
        <x:v>Requires token/session model.</x:v>
      </x:c>
    </x:row>
    <x:row r="27">
      <x:c r="A27" s="32" t="str">
        <x:v>UI/Theme</x:v>
      </x:c>
      <x:c r="B27" s="32" t="str">
        <x:v>Settings mobile/responsive polish</x:v>
      </x:c>
      <x:c r="C27" s="32" t="str">
        <x:v>Next</x:v>
      </x:c>
      <x:c r="D27" s="32" t="str">
        <x:v>P1</x:v>
      </x:c>
      <x:c r="E27" s="32" t="str">
        <x:v>UI-STABILIZATION-3B</x:v>
      </x:c>
      <x:c r="F27" s="32" t="str"/>
      <x:c r="G27" s="32" t="str">
        <x:v>Run responsive prompt</x:v>
      </x:c>
      <x:c r="H27" s="32" t="str">
        <x:v>Main.css only planned.</x:v>
      </x:c>
    </x:row>
    <x:row r="28">
      <x:c r="A28" s="32" t="str">
        <x:v>UI/Theme</x:v>
      </x:c>
      <x:c r="B28" s="32" t="str">
        <x:v>Resources tab visual consistency</x:v>
      </x:c>
      <x:c r="C28" s="32" t="str">
        <x:v>Open</x:v>
      </x:c>
      <x:c r="D28" s="32" t="str">
        <x:v>P2</x:v>
      </x:c>
      <x:c r="E28" s="32" t="str">
        <x:v>UI Stabilization</x:v>
      </x:c>
      <x:c r="F28" s="32" t="str"/>
      <x:c r="G28" s="32" t="str">
        <x:v>Polish after mobile or together if low risk</x:v>
      </x:c>
      <x:c r="H28" s="32" t="str">
        <x:v>User still saw differences.</x:v>
      </x:c>
    </x:row>
    <x:row r="29">
      <x:c r="A29" s="32" t="str">
        <x:v>UI/Theme</x:v>
      </x:c>
      <x:c r="B29" s="32" t="str">
        <x:v>Inline CSS migration</x:v>
      </x:c>
      <x:c r="C29" s="32" t="str">
        <x:v>Open</x:v>
      </x:c>
      <x:c r="D29" s="32" t="str">
        <x:v>P2</x:v>
      </x:c>
      <x:c r="E29" s="32" t="str">
        <x:v>UI Cleanup</x:v>
      </x:c>
      <x:c r="F29" s="32" t="str"/>
      <x:c r="G29" s="32" t="str">
        <x:v>After mobile and AutoPack A0C</x:v>
      </x:c>
      <x:c r="H29" s="32" t="str">
        <x:v>Do not start now.</x:v>
      </x:c>
    </x:row>
    <x:row r="30">
      <x:c r="A30" s="32" t="str">
        <x:v>Future</x:v>
      </x:c>
      <x:c r="B30" s="32" t="str">
        <x:v>Scale / Payload panel</x:v>
      </x:c>
      <x:c r="C30" s="32" t="str">
        <x:v>Planned</x:v>
      </x:c>
      <x:c r="D30" s="32" t="str">
        <x:v>P1</x:v>
      </x:c>
      <x:c r="E30" s="32" t="str">
        <x:v>Payload/Weight</x:v>
      </x:c>
      <x:c r="F30" s="32" t="str"/>
      <x:c r="G30" s="32" t="str">
        <x:v>After AutoPack A1</x:v>
      </x:c>
      <x:c r="H30" s="32" t="str">
        <x:v>Current/capacity/remaining/excess/%</x:v>
      </x:c>
    </x:row>
    <x:row r="31">
      <x:c r="A31" s="32" t="str">
        <x:v>Future</x:v>
      </x:c>
      <x:c r="B31" s="32" t="str">
        <x:v>Weight View heatmap</x:v>
      </x:c>
      <x:c r="C31" s="32" t="str">
        <x:v>Planned</x:v>
      </x:c>
      <x:c r="D31" s="32" t="str">
        <x:v>P1</x:v>
      </x:c>
      <x:c r="E31" s="32" t="str">
        <x:v>Payload/Weight</x:v>
      </x:c>
      <x:c r="F31" s="32" t="str"/>
      <x:c r="G31" s="32" t="str">
        <x:v>After Scale</x:v>
      </x:c>
      <x:c r="H31" s="32" t="str">
        <x:v>Visual only first.</x:v>
      </x:c>
    </x:row>
    <x:row r="32">
      <x:c r="A32" s="32" t="str">
        <x:v>Future</x:v>
      </x:c>
      <x:c r="B32" s="32" t="str">
        <x:v>Crew View / read-only share link</x:v>
      </x:c>
      <x:c r="C32" s="32" t="str">
        <x:v>Planned</x:v>
      </x:c>
      <x:c r="D32" s="32" t="str">
        <x:v>P2</x:v>
      </x:c>
      <x:c r="E32" s="32" t="str">
        <x:v>Crew View</x:v>
      </x:c>
      <x:c r="F32" s="32" t="str"/>
      <x:c r="G32" s="32" t="str">
        <x:v>After solver/PDF</x:v>
      </x:c>
      <x:c r="H32" s="32" t="str">
        <x:v>Large feature.</x:v>
      </x:c>
    </x:row>
    <x:row r="33">
      <x:c r="A33" s="32" t="str">
        <x:v>Future</x:v>
      </x:c>
      <x:c r="B33" s="32" t="str">
        <x:v>Server-backed Packs/Cases</x:v>
      </x:c>
      <x:c r="C33" s="32" t="str">
        <x:v>Planned</x:v>
      </x:c>
      <x:c r="D33" s="32" t="str">
        <x:v>P1/P2</x:v>
      </x:c>
      <x:c r="E33" s="32" t="str">
        <x:v>Server Data</x:v>
      </x:c>
      <x:c r="F33" s="32" t="str"/>
      <x:c r="G33" s="32" t="str">
        <x:v>After P0 and AutoPack base</x:v>
      </x:c>
      <x:c r="H33" s="32" t="str">
        <x:v>For collaboration and cross-device sync.</x:v>
      </x:c>
    </x:row>
    <x:row r="34">
      <x:c r="A34" s="32" t="str">
        <x:v>Future</x:v>
      </x:c>
      <x:c r="B34" s="32" t="str">
        <x:v>app.js modularization</x:v>
      </x:c>
      <x:c r="C34" s="32" t="str">
        <x:v>Deferred</x:v>
      </x:c>
      <x:c r="D34" s="32" t="str">
        <x:v>P2</x:v>
      </x:c>
      <x:c r="E34" s="32" t="str">
        <x:v>M0</x:v>
      </x:c>
      <x:c r="F34" s="32" t="str"/>
      <x:c r="G34" s="32" t="str">
        <x:v>After UI and AutoPack base</x:v>
      </x:c>
      <x:c r="H34" s="32" t="str">
        <x:v>Do not start before contracts stable.</x:v>
      </x:c>
    </x:row>
    <x:row r="35">
      <x:c r="A35" s="32" t="str">
        <x:v>Future</x:v>
      </x:c>
      <x:c r="B35" s="32" t="str">
        <x:v>Multi-container workflow</x:v>
      </x:c>
      <x:c r="C35" s="32" t="str">
        <x:v>Planned</x:v>
      </x:c>
      <x:c r="D35" s="32" t="str">
        <x:v>P3</x:v>
      </x:c>
      <x:c r="E35" s="32" t="str">
        <x:v>Expansion</x:v>
      </x:c>
      <x:c r="F35" s="32" t="str"/>
      <x:c r="G35" s="32" t="str">
        <x:v>Later</x:v>
      </x:c>
      <x:c r="H35" s="32" t="str">
        <x:v>Across truck/container units.</x:v>
      </x:c>
    </x:row>
    <x:row r="36">
      <x:c r="A36" s="32" t="str">
        <x:v>Future</x:v>
      </x:c>
      <x:c r="B36" s="32" t="str">
        <x:v>Enterprise API access</x:v>
      </x:c>
      <x:c r="C36" s="32" t="str">
        <x:v>Deferred</x:v>
      </x:c>
      <x:c r="D36" s="32" t="str">
        <x:v>P3</x:v>
      </x:c>
      <x:c r="E36" s="32" t="str">
        <x:v>Enterprise</x:v>
      </x:c>
      <x:c r="F36" s="32" t="str"/>
      <x:c r="G36" s="32" t="str">
        <x:v>Later</x:v>
      </x:c>
      <x:c r="H36" s="32" t="str">
        <x:v>API keys, rate limits, SDK.</x:v>
      </x:c>
    </x:row>
  </x:sheetData>
  <x:conditionalFormatting sqref="C2:C36">
    <x:cfRule type="expression" dxfId="10" priority="1">
      <x:formula>OR(C2="Implemented",C2="Verified")</x:formula>
    </x:cfRule>
    <x:cfRule type="expression" dxfId="11" priority="2">
      <x:formula>OR(C2="Open",C2="Next",C2="Partial",C2="Needs Validation")</x:formula>
    </x:cfRule>
    <x:cfRule type="expression" dxfId="12" priority="3">
      <x:formula>C2="Deferred"</x:formula>
    </x:cfRule>
  </x:conditionalFormatting>
  <x:conditionalFormatting sqref="D2:D36">
    <x:cfRule type="expression" dxfId="13" priority="4">
      <x:formula>D2="P0"</x:formula>
    </x:cfRule>
    <x:cfRule type="expression" dxfId="14" priority="5">
      <x:formula>D2="P1"</x:formula>
    </x:cfRule>
  </x:conditionalFormatting>
  <x:dataValidations count="2">
    <x:dataValidation type="list" sqref="C2:C36">
      <x:formula1>"Implemented,Verified,Partial,Needs Validation,Open,Next,Planned,Deferred"</x:formula1>
    </x:dataValidation>
    <x:dataValidation type="list" sqref="D2:D36">
      <x:formula1>"P0,P0/P1,P1,P1/P2,P2,P2/P3,P3"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833b6b28884e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8" hidden="0" customWidth="1"/>
    <x:col min="4" max="4" width="60" hidden="0" customWidth="1"/>
    <x:col min="5" max="5" width="42" hidden="0" customWidth="1"/>
    <x:col min="6" max="6" width="40" hidden="0" customWidth="1"/>
  </x:cols>
  <x:sheetData>
    <x:row r="1" ht="26" customHeight="1">
      <x:c r="A1" s="38" t="str">
        <x:v>Phase</x:v>
      </x:c>
      <x:c r="B1" s="38" t="str">
        <x:v>Status</x:v>
      </x:c>
      <x:c r="C1" s="38" t="str">
        <x:v>Goal</x:v>
      </x:c>
      <x:c r="D1" s="38" t="str">
        <x:v>Tests / Browser Checks</x:v>
      </x:c>
      <x:c r="E1" s="38" t="str">
        <x:v>Do Not Touch</x:v>
      </x:c>
      <x:c r="F1" s="38" t="str">
        <x:v>Output</x:v>
      </x:c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2" t="str">
        <x:v>A0C Browser Stress</x:v>
      </x:c>
      <x:c r="B2" s="32" t="str">
        <x:v>Next</x:v>
      </x:c>
      <x:c r="C2" s="32" t="str">
        <x:v>Find unit, import/export, staged item, collision, geometry, manual edit bugs.</x:v>
      </x:c>
      <x:c r="D2" s="32" t="str">
        <x:v>Units save/reload, import/export, staged spacing, wheel wells, front bonus, manual rotate/flip, PDF smoke.</x:v>
      </x:c>
      <x:c r="E2" s="32" t="str">
        <x:v>Billing/auth/Supabase/Stripe/CSS/multi-solution.</x:v>
      </x:c>
      <x:c r="F2" s="32" t="str">
        <x:v>Fix confirmed bugs + report.</x:v>
      </x:c>
    </x:row>
    <x:row r="3">
      <x:c r="A3" s="32" t="str">
        <x:v>A1A Fixtures</x:v>
      </x:c>
      <x:c r="B3" s="32" t="str">
        <x:v>Open</x:v>
      </x:c>
      <x:c r="C3" s="32" t="str">
        <x:v>Add repeatable solver fixtures before quality changes.</x:v>
      </x:c>
      <x:c r="D3" s="32" t="str">
        <x:v>noStackOnTop, stackable false, maxStackCount, locked orientation, wheel wells, front bonus, staged items.</x:v>
      </x:c>
      <x:c r="E3" s="32" t="str">
        <x:v>UI polish/multi-solution.</x:v>
      </x:c>
      <x:c r="F3" s="32" t="str">
        <x:v>Tests that fail for real bugs.</x:v>
      </x:c>
    </x:row>
    <x:row r="4">
      <x:c r="A4" s="32" t="str">
        <x:v>A1B Scoring</x:v>
      </x:c>
      <x:c r="B4" s="32" t="str">
        <x:v>Open</x:v>
      </x:c>
      <x:c r="C4" s="32" t="str">
        <x:v>Improve single-solution packing quality.</x:v>
      </x:c>
      <x:c r="D4" s="32" t="str">
        <x:v>Support-area bonus, vertical fill, heavy-low, valid small cases not left staged.</x:v>
      </x:c>
      <x:c r="E4" s="32" t="str">
        <x:v>Multi-solution UI.</x:v>
      </x:c>
      <x:c r="F4" s="32" t="str">
        <x:v>Better packed count and fewer valid staged items.</x:v>
      </x:c>
    </x:row>
    <x:row r="5">
      <x:c r="A5" s="32" t="str">
        <x:v>A2 Multi-Solution</x:v>
      </x:c>
      <x:c r="B5" s="32" t="str">
        <x:v>Planned</x:v>
      </x:c>
      <x:c r="C5" s="32" t="str">
        <x:v>Dynamic 1–5 solution output.</x:v>
      </x:c>
      <x:c r="D5" s="32" t="str">
        <x:v>Prev/next solution, apply solution, stats, unpacked list, rerun.</x:v>
      </x:c>
      <x:c r="E5" s="32" t="str">
        <x:v>Server rewrite, Crew View.</x:v>
      </x:c>
      <x:c r="F5" s="32" t="str">
        <x:v>Solution N of M model.</x:v>
      </x:c>
    </x:row>
    <x:row r="6">
      <x:c r="A6" s="32" t="str">
        <x:v>A3 Delivery Order</x:v>
      </x:c>
      <x:c r="B6" s="32" t="str">
        <x:v>Planned</x:v>
      </x:c>
      <x:c r="C6" s="32" t="str">
        <x:v>Support load/unload/drop-off sequence.</x:v>
      </x:c>
      <x:c r="D6" s="32" t="str">
        <x:v>stopGroup, deliverySequence, mustUnloadFirst, mustLoadLast, keepTogetherGroup.</x:v>
      </x:c>
      <x:c r="E6" s="32" t="str">
        <x:v>Reuse groupId incorrectly.</x:v>
      </x:c>
      <x:c r="F6" s="32" t="str">
        <x:v>Strategy-aware solver inputs.</x:v>
      </x:c>
    </x:row>
    <x:row r="7">
      <x:c r="A7" s="32" t="str">
        <x:v>C1 Scale</x:v>
      </x:c>
      <x:c r="B7" s="32" t="str">
        <x:v>Planned</x:v>
      </x:c>
      <x:c r="C7" s="32" t="str">
        <x:v>Add payload capacity UI.</x:v>
      </x:c>
      <x:c r="D7" s="32" t="str">
        <x:v>Capacity, current, remaining, excess, %, warning.</x:v>
      </x:c>
      <x:c r="E7" s="32" t="str">
        <x:v>Use weight to block solver initially.</x:v>
      </x:c>
      <x:c r="F7" s="32" t="str">
        <x:v>Trusted load accounting.</x:v>
      </x:c>
    </x:row>
    <x:row r="8">
      <x:c r="A8" s="32" t="str">
        <x:v>C2 Weight View</x:v>
      </x:c>
      <x:c r="B8" s="32" t="str">
        <x:v>Planned</x:v>
      </x:c>
      <x:c r="C8" s="32" t="str">
        <x:v>Add weight heatmap.</x:v>
      </x:c>
      <x:c r="D8" s="32" t="str">
        <x:v>Min/max, live colors, labels visible.</x:v>
      </x:c>
      <x:c r="E8" s="32" t="str">
        <x:v>Solver changes.</x:v>
      </x:c>
      <x:c r="F8" s="32" t="str">
        <x:v>Visual-only overlay first.</x:v>
      </x:c>
    </x:row>
  </x:sheetData>
  <x:pageMargins left="0.7" right="0.7" top="0.75" bottom="0.75" header="0.3" footer="0.3"/>
  <x:tableParts count="1">
    <x:tablePart xmlns:r="http://schemas.openxmlformats.org/officeDocument/2006/relationships" r:id="Rc64499b260054c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8" hidden="0" customWidth="1"/>
    <x:col min="4" max="4" width="70" hidden="0" customWidth="1"/>
  </x:cols>
  <x:sheetData>
    <x:row r="1" ht="26" customHeight="1">
      <x:c r="A1" s="38" t="str">
        <x:v>Risk / Decision</x:v>
      </x:c>
      <x:c r="B1" s="38" t="str">
        <x:v>Priority</x:v>
      </x:c>
      <x:c r="C1" s="38" t="str">
        <x:v>Status</x:v>
      </x:c>
      <x:c r="D1" s="38" t="str">
        <x:v>Next Action</x:v>
      </x:c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2" t="str">
        <x:v>AutoPack staged/unpacked overlap</x:v>
      </x:c>
      <x:c r="B2" s="32" t="str">
        <x:v>P0</x:v>
      </x:c>
      <x:c r="C2" s="32" t="str">
        <x:v>Open</x:v>
      </x:c>
      <x:c r="D2" s="32" t="str">
        <x:v>A0C browser stress; fix staged placement spacing if confirmed.</x:v>
      </x:c>
    </x:row>
    <x:row r="3">
      <x:c r="A3" s="32" t="str">
        <x:v>Units preferences do not update UI</x:v>
      </x:c>
      <x:c r="B3" s="32" t="str">
        <x:v>P0/P1</x:v>
      </x:c>
      <x:c r="C3" s="32" t="str">
        <x:v>Open</x:v>
      </x:c>
      <x:c r="D3" s="32" t="str">
        <x:v>A0C browser test; fix display conversion if confirmed.</x:v>
      </x:c>
    </x:row>
    <x:row r="4">
      <x:c r="A4" s="32" t="str">
        <x:v>AutoPack stack quality leaves valid items staged</x:v>
      </x:c>
      <x:c r="B4" s="32" t="str">
        <x:v>P0</x:v>
      </x:c>
      <x:c r="C4" s="32" t="str">
        <x:v>Open</x:v>
      </x:c>
      <x:c r="D4" s="32" t="str">
        <x:v>A1 fixtures and scoring.</x:v>
      </x:c>
    </x:row>
    <x:row r="5">
      <x:c r="A5" s="32" t="str">
        <x:v>Duplicate geometry helpers can drift</x:v>
      </x:c>
      <x:c r="B5" s="32" t="str">
        <x:v>P1</x:v>
      </x:c>
      <x:c r="C5" s="32" t="str">
        <x:v>Open</x:v>
      </x:c>
      <x:c r="D5" s="32" t="str">
        <x:v>Extract one geometry source after A1 contracts.</x:v>
      </x:c>
    </x:row>
    <x:row r="6">
      <x:c r="A6" s="32" t="str">
        <x:v>Portal Manage fallback not fully manually verified</x:v>
      </x:c>
      <x:c r="B6" s="32" t="str">
        <x:v>P0</x:v>
      </x:c>
      <x:c r="C6" s="32" t="str">
        <x:v>Needs Validation</x:v>
      </x:c>
      <x:c r="D6" s="32" t="str">
        <x:v>Run stale/schedule-managed portal tests.</x:v>
      </x:c>
    </x:row>
    <x:row r="7">
      <x:c r="A7" s="32" t="str">
        <x:v>Restore workspace billing refresh</x:v>
      </x:c>
      <x:c r="B7" s="32" t="str">
        <x:v>P0</x:v>
      </x:c>
      <x:c r="C7" s="32" t="str">
        <x:v>Needs Validation</x:v>
      </x:c>
      <x:c r="D7" s="32" t="str">
        <x:v>Live test restore flow.</x:v>
      </x:c>
    </x:row>
    <x:row r="8">
      <x:c r="A8" s="32" t="str">
        <x:v>Transfer billing ownership policy</x:v>
      </x:c>
      <x:c r="B8" s="32" t="str">
        <x:v>P0</x:v>
      </x:c>
      <x:c r="C8" s="32" t="str">
        <x:v>Needs Decision</x:v>
      </x:c>
      <x:c r="D8" s="32" t="str">
        <x:v>Define and sign off.</x:v>
      </x:c>
    </x:row>
    <x:row r="9">
      <x:c r="A9" s="32" t="str">
        <x:v>Settings Resources inconsistent UI</x:v>
      </x:c>
      <x:c r="B9" s="32" t="str">
        <x:v>P2</x:v>
      </x:c>
      <x:c r="C9" s="32" t="str">
        <x:v>Open</x:v>
      </x:c>
      <x:c r="D9" s="32" t="str">
        <x:v>Polish after mobile or in small CSS pass.</x:v>
      </x:c>
    </x:row>
    <x:row r="10">
      <x:c r="A10" s="32" t="str">
        <x:v>Inline style debt</x:v>
      </x:c>
      <x:c r="B10" s="32" t="str">
        <x:v>P2</x:v>
      </x:c>
      <x:c r="C10" s="32" t="str">
        <x:v>Open</x:v>
      </x:c>
      <x:c r="D10" s="32" t="str">
        <x:v>Migrate after responsive and AutoPack A0C.</x:v>
      </x:c>
    </x:row>
    <x:row r="11">
      <x:c r="A11" s="32" t="str">
        <x:v>Server-backed packs/cases</x:v>
      </x:c>
      <x:c r="B11" s="32" t="str">
        <x:v>P1/P2</x:v>
      </x:c>
      <x:c r="C11" s="32" t="str">
        <x:v>Needs Design</x:v>
      </x:c>
      <x:c r="D11" s="32" t="str">
        <x:v>Decision on Supabase data model and migration.</x:v>
      </x:c>
    </x:row>
  </x:sheetData>
  <x:pageMargins left="0.7" right="0.7" top="0.75" bottom="0.75" header="0.3" footer="0.3"/>
  <x:tableParts count="1">
    <x:tablePart xmlns:r="http://schemas.openxmlformats.org/officeDocument/2006/relationships" r:id="Rad3ccceaf37e46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 ht="26" customHeight="1">
      <x:c r="A1" s="38" t="str">
        <x:v>Field</x:v>
      </x:c>
      <x:c r="B1" s="38" t="str">
        <x:v>Allowed Values / Meaning</x:v>
      </x:c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2" t="str">
        <x:v>Status</x:v>
      </x:c>
      <x:c r="B2" s="32" t="str">
        <x:v>Implemented, Verified, Partial, Needs Validation, Open, Next, Planned, Deferred</x:v>
      </x:c>
    </x:row>
    <x:row r="3">
      <x:c r="A3" s="32" t="str">
        <x:v>Priority</x:v>
      </x:c>
      <x:c r="B3" s="32" t="str">
        <x:v>P0 = release blocker/high risk, P1 = next product quality, P2 = important later, P3 = expansion</x:v>
      </x:c>
    </x:row>
    <x:row r="4">
      <x:c r="A4" s="32" t="str">
        <x:v>Phase</x:v>
      </x:c>
      <x:c r="B4" s="32" t="str">
        <x:v>Use the major phase name: Billing, Workspace, AutoPack, UI, Import/Export, Future</x:v>
      </x:c>
    </x:row>
    <x:row r="5">
      <x:c r="A5" s="32" t="str">
        <x:v>Owner</x:v>
      </x:c>
      <x:c r="B5" s="32" t="str">
        <x:v>Optional; assign person/AI when ready</x:v>
      </x:c>
    </x:row>
    <x:row r="6">
      <x:c r="A6" s="32" t="str">
        <x:v>Rule</x:v>
      </x:c>
      <x:c r="B6" s="32" t="str">
        <x:v>TP3D-MASTER-TODO-V3.md remains history. This workbook is the cleaner tracker.</x:v>
      </x:c>
    </x:row>
  </x:sheetData>
  <x:pageMargins left="0.7" right="0.7" top="0.75" bottom="0.75" header="0.3" footer="0.3"/>
</x:worksheet>
</file>